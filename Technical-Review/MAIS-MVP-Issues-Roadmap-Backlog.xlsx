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Issues Register" sheetId="2" state="visible" r:id="rId4"/>
    <sheet name="Roadmap" sheetId="3" state="visible" r:id="rId5"/>
    <sheet name="Backlog" sheetId="4" state="visible" r:id="rId6"/>
    <sheet name="Readiness Checklist" sheetId="5" state="visible" r:id="rId7"/>
  </sheets>
  <definedNames>
    <definedName function="false" hidden="true" localSheetId="3" name="_xlnm._FilterDatabase" vbProcedure="false">Backlog!$A$1:$G$25</definedName>
    <definedName function="false" hidden="true" localSheetId="1" name="_xlnm._FilterDatabase" vbProcedure="false">'Issues Register'!$A$1:$L$19</definedName>
    <definedName function="false" hidden="true" localSheetId="4" name="_xlnm._FilterDatabase" vbProcedure="false">'Readiness Checklist'!$A$1:$D$39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<sst xmlns="http://schemas.openxmlformats.org/spreadsheetml/2006/main" count="750" uniqueCount="427">
  <si>
    <t xml:space="preserve">MAIS-MVP Technical Review — Issues, Roadmap &amp; Backlog</t>
  </si>
  <si>
    <t xml:space="preserve">Review date: 2026-07-06   ·   Scope: full repository + live-site spot check   ·   Companion: TECHNICAL-REVIEW.md / .docx</t>
  </si>
  <si>
    <t xml:space="preserve">Sheet</t>
  </si>
  <si>
    <t xml:space="preserve">Contents</t>
  </si>
  <si>
    <t xml:space="preserve">Issues Register</t>
  </si>
  <si>
    <t xml:space="preserve">18 major issues with severity, evidence, risk, fix, effort, owner, priority</t>
  </si>
  <si>
    <t xml:space="preserve">Roadmap</t>
  </si>
  <si>
    <t xml:space="preserve">3-month recovery plan in 4 phases with success criteria</t>
  </si>
  <si>
    <t xml:space="preserve">Backlog</t>
  </si>
  <si>
    <t xml:space="preserve">24 engineering tickets with acceptance criteria (BK-01…BK-24)</t>
  </si>
  <si>
    <t xml:space="preserve">Readiness Checklist</t>
  </si>
  <si>
    <t xml:space="preserve">Minimum production-readiness bar before real classrooms</t>
  </si>
  <si>
    <t xml:space="preserve">Issue counts by severity</t>
  </si>
  <si>
    <t xml:space="preserve">Critical</t>
  </si>
  <si>
    <t xml:space="preserve">High</t>
  </si>
  <si>
    <t xml:space="preserve">Medium</t>
  </si>
  <si>
    <t xml:space="preserve">Total issues</t>
  </si>
  <si>
    <t xml:space="preserve">Backlog tickets by priority</t>
  </si>
  <si>
    <t xml:space="preserve">P0</t>
  </si>
  <si>
    <t xml:space="preserve">P1</t>
  </si>
  <si>
    <t xml:space="preserve">P2</t>
  </si>
  <si>
    <t xml:space="preserve">P3</t>
  </si>
  <si>
    <t xml:space="preserve">Total tickets</t>
  </si>
  <si>
    <t xml:space="preserve">ID</t>
  </si>
  <si>
    <t xml:space="preserve">Issue title</t>
  </si>
  <si>
    <t xml:space="preserve">Severity</t>
  </si>
  <si>
    <t xml:space="preserve">Area</t>
  </si>
  <si>
    <t xml:space="preserve">Evidence / likely symptom</t>
  </si>
  <si>
    <t xml:space="preserve">Why it matters</t>
  </si>
  <si>
    <t xml:space="preserve">Risk if ignored</t>
  </si>
  <si>
    <t xml:space="preserve">Recommended fix</t>
  </si>
  <si>
    <t xml:space="preserve">Effort</t>
  </si>
  <si>
    <t xml:space="preserve">Suggested owner</t>
  </si>
  <si>
    <t xml:space="preserve">Priority (next 3 months)</t>
  </si>
  <si>
    <t xml:space="preserve">Related tickets</t>
  </si>
  <si>
    <t xml:space="preserve">ISS-01</t>
  </si>
  <si>
    <t xml:space="preserve">Entire platform state stored as a single JSON blob (app_state row)</t>
  </si>
  <si>
    <t xml:space="preserve">Data / Architecture</t>
  </si>
  <si>
    <t xml:space="preserve">lib/server/userStore.ts: all domains serialized into one app_state row; every mutation runs SELECT…FOR UPDATE on that row, rewrites the full payload and re-syncs 22 projection_* tables; local dev blob is 77 MB (SQLite + 117 MB WAL).</t>
  </si>
  <si>
    <t xml:space="preserve">Global write lock = a handful of concurrent users max; every read loads the full platform state into memory; write amplification on every keystroke-level action.</t>
  </si>
  <si>
    <t xml:space="preserve">Site freezes/timeouts with the first real classroom; one bad write or normalize bug corrupts ALL data; costs grow with every user action.</t>
  </si>
  <si>
    <t xml:space="preserve">Freeze the blob (no new data), then strangler-migrate domain by domain to normalized tables — the pattern already proven by hot-auth + practice_attempts fast paths.</t>
  </si>
  <si>
    <t xml:space="preserve">L</t>
  </si>
  <si>
    <t xml:space="preserve">Senior + junior</t>
  </si>
  <si>
    <t xml:space="preserve">Months 1–3 (top priority)</t>
  </si>
  <si>
    <t xml:space="preserve">BK-07, BK-11, BK-12</t>
  </si>
  <si>
    <t xml:space="preserve">ISS-02</t>
  </si>
  <si>
    <t xml:space="preserve">No database migration framework or schema versioning</t>
  </si>
  <si>
    <t xml:space="preserve">Data</t>
  </si>
  <si>
    <t xml:space="preserve">No migrations directory; runtime CREATE TABLE IF NOT EXISTS / ALTER TABLE calls inside userStore.ts; schemaVersion constant = 1.</t>
  </si>
  <si>
    <t xml:space="preserve">Schema evolution is untracked, unrepeatable and irreversible; staging and prod can silently diverge.</t>
  </si>
  <si>
    <t xml:space="preserve">A failed deploy mid-schema-change leaves prod in an unknown state with no down-path.</t>
  </si>
  <si>
    <t xml:space="preserve">Adopt node-pg-migrate or drizzle-kit; baseline current schema; run migrations as an explicit deploy step.</t>
  </si>
  <si>
    <t xml:space="preserve">M</t>
  </si>
  <si>
    <t xml:space="preserve">Senior sets up, junior follows</t>
  </si>
  <si>
    <t xml:space="preserve">Weeks 3–4</t>
  </si>
  <si>
    <t xml:space="preserve">BK-08</t>
  </si>
  <si>
    <t xml:space="preserve">ISS-03</t>
  </si>
  <si>
    <t xml:space="preserve">Backups and restore untested / not configured</t>
  </si>
  <si>
    <t xml:space="preserve">Data / DevOps</t>
  </si>
  <si>
    <t xml:space="preserve">No backup automation in repo; only storage-admin-snapshot-merge.mjs and an admin JSON export endpoint; provider-side backup status unverified.</t>
  </si>
  <si>
    <t xml:space="preserve">Student learning records are irreplaceable; the JSON-blob design makes corruption more likely, not less.</t>
  </si>
  <si>
    <t xml:space="preserve">Any incident (bad deploy, provider issue, operator error) = permanent data loss.</t>
  </si>
  <si>
    <t xml:space="preserve">Enable provider PITR/daily dumps; perform a scripted restore drill; document RPO ≤ 24h / RTO ≤ 4h.</t>
  </si>
  <si>
    <t xml:space="preserve">S</t>
  </si>
  <si>
    <t xml:space="preserve">DevOps / junior</t>
  </si>
  <si>
    <t xml:space="preserve">Week 1</t>
  </si>
  <si>
    <t xml:space="preserve">BK-01</t>
  </si>
  <si>
    <t xml:space="preserve">ISS-04</t>
  </si>
  <si>
    <t xml:space="preserve">CI gates nothing — push workflow only runs npm install</t>
  </si>
  <si>
    <t xml:space="preserve">Workflow</t>
  </si>
  <si>
    <t xml:space="preserve">.github/workflows/ci.yml: push job = checkout + npm install; type-check/tests/build only on manual dispatch flag. 109 unit test files + 60 e2e specs exist but never run automatically.</t>
  </si>
  <si>
    <t xml:space="preserve">The safety harness exists but is disconnected; AI-agent-generated code lands unverified.</t>
  </si>
  <si>
    <t xml:space="preserve">Regressions ship straight to production; test suite rots.</t>
  </si>
  <si>
    <t xml:space="preserve">Run type-check + unit tests + build on every push/PR; block production deploys unless main is green.</t>
  </si>
  <si>
    <t xml:space="preserve">Junior</t>
  </si>
  <si>
    <t xml:space="preserve">BK-02</t>
  </si>
  <si>
    <t xml:space="preserve">ISS-05</t>
  </si>
  <si>
    <t xml:space="preserve">No privacy baseline for a platform handling minors' data</t>
  </si>
  <si>
    <t xml:space="preserve">Privacy / Legal</t>
  </si>
  <si>
    <t xml:space="preserve">No privacy policy/consent flow in app; student context (names, attempts, work photos, voice) sent to Qwen/DeepSeek/EduHK/SimpleTex/Mathpix; optional xAPI LRS export; HK + mainland + US curricula imply PDPO/PIPL/COPPA-FERPA exposure.</t>
  </si>
  <si>
    <t xml:space="preserve">Education platforms live on school and parent trust; legal regimes for minors are strict in all three target regions.</t>
  </si>
  <si>
    <t xml:space="preserve">Regulatory exposure; a single parent complaint or school audit can end a pilot.</t>
  </si>
  <si>
    <t xml:space="preserve">Minimum privacy pack: policy + consent, data-flow map, provider terms review, deletion/export path, LLM data minimization.</t>
  </si>
  <si>
    <t xml:space="preserve">Product owner + senior</t>
  </si>
  <si>
    <t xml:space="preserve">Start month 1; complete before real users</t>
  </si>
  <si>
    <t xml:space="preserve">BK-24</t>
  </si>
  <si>
    <t xml:space="preserve">ISS-06</t>
  </si>
  <si>
    <t xml:space="preserve">Sessions cannot be revoked</t>
  </si>
  <si>
    <t xml:space="preserve">Security</t>
  </si>
  <si>
    <t xml:space="preserve">lib/session.ts: stateless HMAC token, 7-day expiry; logout only clears the cookie; password change/reset does not invalidate existing tokens on other devices.</t>
  </si>
  <si>
    <t xml:space="preserve">A leaked/stolen token stays valid for up to 7 days with no kill switch.</t>
  </si>
  <si>
    <t xml:space="preserve">Account takeover persists even after the user resets their password.</t>
  </si>
  <si>
    <t xml:space="preserve">Server-side session records (id + revoked flag); check on verify; revoke on password change; 'log out all devices'.</t>
  </si>
  <si>
    <t xml:space="preserve">Junior with senior review</t>
  </si>
  <si>
    <t xml:space="preserve">Month 2</t>
  </si>
  <si>
    <t xml:space="preserve">BK-14</t>
  </si>
  <si>
    <t xml:space="preserve">ISS-07</t>
  </si>
  <si>
    <t xml:space="preserve">Anyone can self-register as teacher (and parent)</t>
  </si>
  <si>
    <t xml:space="preserve">Security / Access control</t>
  </si>
  <si>
    <t xml:space="preserve">app/api/auth/register/route.ts accepts role=teacher/parent from the public form; only admin is blocked.</t>
  </si>
  <si>
    <t xml:space="preserve">Teacher role unlocks teacher-tier UI, AI tools and student-adjacent workflows; the trust boundary is undefined.</t>
  </si>
  <si>
    <t xml:space="preserve">Strangers posing as teachers interacting with student data/flows on an education platform.</t>
  </si>
  <si>
    <t xml:space="preserve">Invite code or admin approval for teacher signup; audit parent-child linking for verification.</t>
  </si>
  <si>
    <t xml:space="preserve">S–M</t>
  </si>
  <si>
    <t xml:space="preserve">Weeks 1–2</t>
  </si>
  <si>
    <t xml:space="preserve">BK-05</t>
  </si>
  <si>
    <t xml:space="preserve">ISS-08</t>
  </si>
  <si>
    <t xml:space="preserve">Rate limiting is in-memory per serverless instance</t>
  </si>
  <si>
    <t xml:space="preserve">Security / Cost</t>
  </si>
  <si>
    <t xml:space="preserve">lib/server/rateLimit.ts: Map in module scope; Vercel runs many short-lived instances, so counters reset and are not shared.</t>
  </si>
  <si>
    <t xml:space="preserve">Login brute-force and AI-cost abuse are effectively unthrottled in production despite the code existing.</t>
  </si>
  <si>
    <t xml:space="preserve">Credential stuffing; surprise LLM bills; tutor abuse.</t>
  </si>
  <si>
    <t xml:space="preserve">Durable limiter (Postgres or Upstash Redis) for auth + AI/OCR/speech routes, per-IP and per-user.</t>
  </si>
  <si>
    <t xml:space="preserve">BK-06</t>
  </si>
  <si>
    <t xml:space="preserve">ISS-09</t>
  </si>
  <si>
    <t xml:space="preserve">No error tracking, alerting, or structured logging</t>
  </si>
  <si>
    <t xml:space="preserve">Observability</t>
  </si>
  <si>
    <t xml:space="preserve">No Sentry/equivalent anywhere; 62 console.* statements; Vercel logs only, unwatched.</t>
  </si>
  <si>
    <t xml:space="preserve">Production failures are invisible until a user reports them; debugging has no request context.</t>
  </si>
  <si>
    <t xml:space="preserve">Extended outages; unreproducible bug reports; support burden on the owner.</t>
  </si>
  <si>
    <t xml:space="preserve">Sentry client+server with release tags; uptime checks; request-ID logging in a shared API wrapper.</t>
  </si>
  <si>
    <t xml:space="preserve">BK-03</t>
  </si>
  <si>
    <t xml:space="preserve">ISS-10</t>
  </si>
  <si>
    <t xml:space="preserve">God modules mixing persistence, business rules and AI logic</t>
  </si>
  <si>
    <t xml:space="preserve">Code quality</t>
  </si>
  <si>
    <t xml:space="preserve">userStore.ts = 9,937 lines importing RAG packs, adaptive engine, LLM provider; ThreeDLabCanvas.tsx = 11,240 lines; ai-tutor/resolve route = 2,865 lines; repo ≈ 300k LoC.</t>
  </si>
  <si>
    <t xml:space="preserve">Every change funnels through giant shared files: merge conflicts (esp. across 25 parallel AI agents), impossible code review, slow onboarding.</t>
  </si>
  <si>
    <t xml:space="preserve">Change amplification: small features cause regressions in unrelated domains.</t>
  </si>
  <si>
    <t xml:space="preserve">Split by domain behind interfaces as part of the strangler migration; mechanical moves protected by existing unit tests; no big-bang rewrite.</t>
  </si>
  <si>
    <t xml:space="preserve">Senior guides, junior executes</t>
  </si>
  <si>
    <t xml:space="preserve">Months 2–3</t>
  </si>
  <si>
    <t xml:space="preserve">BK-11, BK-12</t>
  </si>
  <si>
    <t xml:space="preserve">ISS-11</t>
  </si>
  <si>
    <t xml:space="preserve">Inconsistent API validation and error handling</t>
  </si>
  <si>
    <t xml:space="preserve">Backend</t>
  </si>
  <si>
    <t xml:space="preserve">Hand-rolled typeof checks per route; no schema library; only ~7 of 160 routes use the shared JSON error boundary; error shapes vary.</t>
  </si>
  <si>
    <t xml:space="preserve">Bad input can reach business logic; clients can't rely on error contracts; every new route reinvents the wheel.</t>
  </si>
  <si>
    <t xml:space="preserve">Data-quality bugs and brittle frontend error handling accumulate.</t>
  </si>
  <si>
    <t xml:space="preserve">zod schemas + shared withApiHandler wrapper (auth, validation, envelope, request-ID); top-20 routes first.</t>
  </si>
  <si>
    <t xml:space="preserve">Weeks 3–8</t>
  </si>
  <si>
    <t xml:space="preserve">BK-09</t>
  </si>
  <si>
    <t xml:space="preserve">ISS-12</t>
  </si>
  <si>
    <t xml:space="preserve">Secrets on disk in an AI-agent working tree</t>
  </si>
  <si>
    <t xml:space="preserve">'All API Keys.docx' and .env.local in repo folder (gitignored but present); up to 25 autonomous agents operate in this tree per AGENTS.md; coordination logs reference key handoffs.</t>
  </si>
  <si>
    <t xml:space="preserve">Any misbehaving agent or tool call can read and exfiltrate every provider credential; Word docs are uncontrolled key storage.</t>
  </si>
  <si>
    <t xml:space="preserve">Provider account compromise; fraudulent LLM spend; data breach via provider APIs.</t>
  </si>
  <si>
    <t xml:space="preserve">Rotate all keys; secrets only in Vercel env + password manager; delete key files; gitleaks pre-commit + CI + history scan.</t>
  </si>
  <si>
    <t xml:space="preserve">Owner + junior</t>
  </si>
  <si>
    <t xml:space="preserve">BK-04</t>
  </si>
  <si>
    <t xml:space="preserve">ISS-13</t>
  </si>
  <si>
    <t xml:space="preserve">Deploy/rollback data hazard from write-on-read normalization</t>
  </si>
  <si>
    <t xml:space="preserve">Deployment / Data</t>
  </si>
  <si>
    <t xml:space="preserve">readPostgresDatabase triggers normalization write-backs of the full snapshot; during deploy overlap, old code can rewrite state produced by new code, silently dropping fields.</t>
  </si>
  <si>
    <t xml:space="preserve">Code rollback (Vercel) is instant, but data written by newer code may be destroyed by older code still running.</t>
  </si>
  <si>
    <t xml:space="preserve">Silent data regression after any rollback or slow rollout.</t>
  </si>
  <si>
    <t xml:space="preserve">Remove write-on-read; make normalization an explicit versioned migration step; version the payload.</t>
  </si>
  <si>
    <t xml:space="preserve">Senior</t>
  </si>
  <si>
    <t xml:space="preserve">BK-07, BK-08</t>
  </si>
  <si>
    <t xml:space="preserve">ISS-14</t>
  </si>
  <si>
    <t xml:space="preserve">No lint/format toolchain; bespoke fragile test pipeline</t>
  </si>
  <si>
    <t xml:space="preserve">No ESLint/Prettier in devDependencies; unit tests run via custom tsc → .tmp compile with symlinked '@' aliases across 4 tsconfigs.</t>
  </si>
  <si>
    <t xml:space="preserve">Style drift and latent bugs go uncaught; test pipeline breaks mysteriously for newcomers.</t>
  </si>
  <si>
    <t xml:space="preserve">Rising friction for every current and future contributor.</t>
  </si>
  <si>
    <t xml:space="preserve">ESLint + Prettier + pre-commit; migrate unit tests to Vitest (native TS paths).</t>
  </si>
  <si>
    <t xml:space="preserve">BK-16</t>
  </si>
  <si>
    <t xml:space="preserve">ISS-15</t>
  </si>
  <si>
    <t xml:space="preserve">Frontend bundle weight and missing error boundaries</t>
  </si>
  <si>
    <t xml:space="preserve">Frontend / UX</t>
  </si>
  <si>
    <t xml:space="preserve">three + drei + phaser + framer-motion all present; client components (login page, roadmaps, forum) import from the 91 MB data/ tree; 8 loading.tsx but 0 error.tsx in app/.</t>
  </si>
  <si>
    <t xml:space="preserve">Slow first loads on school hardware/networks; any render error white-screens the route with no recovery UI.</t>
  </si>
  <si>
    <t xml:space="preserve">Teachers/students on old devices churn; demos fail badly on errors.</t>
  </si>
  <si>
    <t xml:space="preserve">Bundle analysis + dynamic imports + per-route JS budgets; add error.tsx boundaries; audit data/ imports reaching clients.</t>
  </si>
  <si>
    <t xml:space="preserve">Junior + designer</t>
  </si>
  <si>
    <t xml:space="preserve">BK-13</t>
  </si>
  <si>
    <t xml:space="preserve">ISS-16</t>
  </si>
  <si>
    <t xml:space="preserve">Repo hygiene and documentation drift</t>
  </si>
  <si>
    <t xml:space="preserve">Workflow / Docs</t>
  </si>
  <si>
    <t xml:space="preserve">7,786 tracked files incl. QA evidence CSVs, video plans, coordination artifacts; 41 codex/* branches; README + live meta description still say 'HK Math Lab Template'; stray Users/, output/ dirs.</t>
  </si>
  <si>
    <t xml:space="preserve">New engineers cannot tell product code from scratch output; branding confusion on the live site.</t>
  </si>
  <si>
    <t xml:space="preserve">Onboarding takes weeks instead of days; stale branches hide unmerged work.</t>
  </si>
  <si>
    <t xml:space="preserve">Archive non-product artifacts; prune branches; rewrite README/ARCHITECTURE/ONBOARDING; fix metadata.</t>
  </si>
  <si>
    <t xml:space="preserve">BK-15, BK-18</t>
  </si>
  <si>
    <t xml:space="preserve">ISS-17</t>
  </si>
  <si>
    <t xml:space="preserve">Experimental sync SQLite in request path; Node unpinned</t>
  </si>
  <si>
    <t xml:space="preserve">Platform</t>
  </si>
  <si>
    <t xml:space="preserve">node:sqlite DatabaseSync (experimental, synchronous) used for local/fallback storage; no engines field or .nvmrc; CI uses Node 24.</t>
  </si>
  <si>
    <t xml:space="preserve">Sync DB calls block the event loop during large writes; environment drift between dev/CI/Vercel.</t>
  </si>
  <si>
    <t xml:space="preserve">Mysterious latency locally; 'works on my machine' failures.</t>
  </si>
  <si>
    <t xml:space="preserve">Pin Node via engines + .nvmrc; keep SQLite strictly local-dev; assert postgres provider at production boot.</t>
  </si>
  <si>
    <t xml:space="preserve">BK-17</t>
  </si>
  <si>
    <t xml:space="preserve">ISS-18</t>
  </si>
  <si>
    <t xml:space="preserve">CSRF protection relies solely on SameSite=Lax</t>
  </si>
  <si>
    <t xml:space="preserve">No CSRF tokens or Origin checks; session cookie is SameSite=Lax (blocks most cross-site POSTs on modern browsers).</t>
  </si>
  <si>
    <t xml:space="preserve">Residual exposure on older browsers and any future GET-with-side-effects route.</t>
  </si>
  <si>
    <t xml:space="preserve">Low-likelihood but cheap-to-fix account actions via CSRF.</t>
  </si>
  <si>
    <t xml:space="preserve">Add Origin/Referer validation for mutations in the shared API wrapper; consider double-submit tokens later.</t>
  </si>
  <si>
    <t xml:space="preserve">Phase</t>
  </si>
  <si>
    <t xml:space="preserve">Window</t>
  </si>
  <si>
    <t xml:space="preserve">Workstream</t>
  </si>
  <si>
    <t xml:space="preserve">Key actions</t>
  </si>
  <si>
    <t xml:space="preserve">Tickets</t>
  </si>
  <si>
    <t xml:space="preserve">Owner</t>
  </si>
  <si>
    <t xml:space="preserve">Success criteria / exit gate</t>
  </si>
  <si>
    <t xml:space="preserve">1. Stabilization &amp; risk reduction</t>
  </si>
  <si>
    <t xml:space="preserve">Data safety</t>
  </si>
  <si>
    <t xml:space="preserve">Verify prod Postgres; enable backups/PITR; run + document one restore drill</t>
  </si>
  <si>
    <t xml:space="preserve">DevOps/JD</t>
  </si>
  <si>
    <t xml:space="preserve">Restore drill passed; RPO/RTO written down</t>
  </si>
  <si>
    <t xml:space="preserve">Delivery safety</t>
  </si>
  <si>
    <t xml:space="preserve">CI gate: type-check + unit tests + build on every push/PR; deploys only from green main</t>
  </si>
  <si>
    <t xml:space="preserve">JD</t>
  </si>
  <si>
    <t xml:space="preserve">Red CI blocks merge and deploy</t>
  </si>
  <si>
    <t xml:space="preserve">Visibility</t>
  </si>
  <si>
    <t xml:space="preserve">Sentry client+server, release tags, uptime checks, alert channel</t>
  </si>
  <si>
    <t xml:space="preserve">Test error visible in Sentry; alert fires &lt; 5 min</t>
  </si>
  <si>
    <t xml:space="preserve">Secrets</t>
  </si>
  <si>
    <t xml:space="preserve">Rotate all provider keys; delete All API Keys.docx; Vercel env + password manager; gitleaks</t>
  </si>
  <si>
    <t xml:space="preserve">Owner+JD</t>
  </si>
  <si>
    <t xml:space="preserve">Old keys revoked; scans green</t>
  </si>
  <si>
    <t xml:space="preserve">Access control</t>
  </si>
  <si>
    <t xml:space="preserve">Teacher registration behind invite code; parent-link audit</t>
  </si>
  <si>
    <t xml:space="preserve">Teacher signup w/o code → 403 (e2e-tested)</t>
  </si>
  <si>
    <t xml:space="preserve">Abuse/cost</t>
  </si>
  <si>
    <t xml:space="preserve">Durable rate limiting on auth + AI routes</t>
  </si>
  <si>
    <t xml:space="preserve">Limits hold across instances</t>
  </si>
  <si>
    <t xml:space="preserve">Architecture guardrail</t>
  </si>
  <si>
    <t xml:space="preserve">app_state freeze ADR: no new data into the blob</t>
  </si>
  <si>
    <t xml:space="preserve">BK-07</t>
  </si>
  <si>
    <t xml:space="preserve">SE</t>
  </si>
  <si>
    <t xml:space="preserve">ADR merged; PR checklist updated</t>
  </si>
  <si>
    <t xml:space="preserve">2. Architecture cleanup &amp; docs</t>
  </si>
  <si>
    <t xml:space="preserve">Schema management</t>
  </si>
  <si>
    <t xml:space="preserve">Migration framework adopted; baseline committed; DDL only via migrations</t>
  </si>
  <si>
    <t xml:space="preserve">SE+JD</t>
  </si>
  <si>
    <t xml:space="preserve">migrate up/down works on staging</t>
  </si>
  <si>
    <t xml:space="preserve">API consistency</t>
  </si>
  <si>
    <t xml:space="preserve">Shared withApiHandler (auth+zod+envelope+request-ID); convert top-20 routes</t>
  </si>
  <si>
    <t xml:space="preserve">Converted routes uniform; 400s carry field errors</t>
  </si>
  <si>
    <t xml:space="preserve">Environments</t>
  </si>
  <si>
    <t xml:space="preserve">Real staging: separate Vercel project + Postgres + seed; smoke suite per release</t>
  </si>
  <si>
    <t xml:space="preserve">BK-10</t>
  </si>
  <si>
    <t xml:space="preserve">Staging green gate wired into deploy script</t>
  </si>
  <si>
    <t xml:space="preserve">Docs &amp; hygiene</t>
  </si>
  <si>
    <t xml:space="preserve">README/ARCHITECTURE/ONBOARDING rewrite; repo artifact archive; branch prune; Node pinning</t>
  </si>
  <si>
    <t xml:space="preserve">BK-15, BK-17, BK-18</t>
  </si>
  <si>
    <t xml:space="preserve">New dev to running app &lt; 1 hour; &lt; 3,000 tracked files</t>
  </si>
  <si>
    <t xml:space="preserve">3. Core refactoring &amp; foundation</t>
  </si>
  <si>
    <t xml:space="preserve">Data migration wave 1</t>
  </si>
  <si>
    <t xml:space="preserve">learning_events + lesson_progress, then messages/notices: dual-write → backfill → parity → cutover</t>
  </si>
  <si>
    <t xml:space="preserve">Parity ≥ 99.9%; reads switched; blob writes stopped for wave-1 domains</t>
  </si>
  <si>
    <t xml:space="preserve">Deploy/data safety</t>
  </si>
  <si>
    <t xml:space="preserve">Remove write-on-read normalization; versioned payload</t>
  </si>
  <si>
    <t xml:space="preserve">Rollback no longer mutates data</t>
  </si>
  <si>
    <t xml:space="preserve">Code structure</t>
  </si>
  <si>
    <t xml:space="preserve">Split userStore.ts into lib/domains/* behind interfaces (mechanical, test-protected)</t>
  </si>
  <si>
    <t xml:space="preserve">—</t>
  </si>
  <si>
    <t xml:space="preserve">SE guides JD</t>
  </si>
  <si>
    <t xml:space="preserve">No file &gt; 1,500 lines in lib/server core; tests green</t>
  </si>
  <si>
    <t xml:space="preserve">Sessions</t>
  </si>
  <si>
    <t xml:space="preserve">Server-side session records; revoke on password change; log-out-all</t>
  </si>
  <si>
    <t xml:space="preserve">Password change invalidates other devices (e2e)</t>
  </si>
  <si>
    <t xml:space="preserve">Tooling</t>
  </si>
  <si>
    <t xml:space="preserve">ESLint+Prettier; Vitest migration; e2e nightly on staging</t>
  </si>
  <si>
    <t xml:space="preserve">npm test &lt; 5 min; nightly report visible</t>
  </si>
  <si>
    <t xml:space="preserve">Frontend</t>
  </si>
  <si>
    <t xml:space="preserve">Bundle analysis; lazy-load three/phaser; error.tsx everywhere; data/-import audit</t>
  </si>
  <si>
    <t xml:space="preserve">JD+DS</t>
  </si>
  <si>
    <t xml:space="preserve">Route budgets met; no white-screen on error</t>
  </si>
  <si>
    <t xml:space="preserve">4. Hardening &amp; controlled expansion</t>
  </si>
  <si>
    <t xml:space="preserve">Month 3</t>
  </si>
  <si>
    <t xml:space="preserve">Data migration wave 2</t>
  </si>
  <si>
    <t xml:space="preserve">classes, enrollments, assignments, submissions to normalized tables</t>
  </si>
  <si>
    <t xml:space="preserve">Same parity gate as wave 1</t>
  </si>
  <si>
    <t xml:space="preserve">Privacy</t>
  </si>
  <si>
    <t xml:space="preserve">Policy+consent, data-flow map, provider review, deletion/export, LLM minimization</t>
  </si>
  <si>
    <t xml:space="preserve">PO+SE</t>
  </si>
  <si>
    <t xml:space="preserve">Deletion request fulfilled in test; policy live</t>
  </si>
  <si>
    <t xml:space="preserve">Performance</t>
  </si>
  <si>
    <t xml:space="preserve">k6 classroom load test (200 students); fix top 3 bottlenecks</t>
  </si>
  <si>
    <t xml:space="preserve">BK-19</t>
  </si>
  <si>
    <t xml:space="preserve">p95 attempt submit &lt; 2s @ 200 users</t>
  </si>
  <si>
    <t xml:space="preserve">Headers+CSP report-only; Origin checks; npm audit triage; admin audit log</t>
  </si>
  <si>
    <t xml:space="preserve">BK-21, BK-22</t>
  </si>
  <si>
    <t xml:space="preserve">securityheaders.com ≥ A-; audit log queryable</t>
  </si>
  <si>
    <t xml:space="preserve">AI/adaptive</t>
  </si>
  <si>
    <t xml:space="preserve">AdaptiveEngine interface extraction + recommendation_log; budget guard hard caps</t>
  </si>
  <si>
    <t xml:space="preserve">BK-20</t>
  </si>
  <si>
    <t xml:space="preserve">Recommendations logged with outcomes; overage cuts AI gracefully</t>
  </si>
  <si>
    <t xml:space="preserve">Operations</t>
  </si>
  <si>
    <t xml:space="preserve">Rollback/incident runbook + game day; restore drill #2; pilot 1–2 classrooms with daily monitoring</t>
  </si>
  <si>
    <t xml:space="preserve">BK-23</t>
  </si>
  <si>
    <t xml:space="preserve">SE+JD+PO</t>
  </si>
  <si>
    <t xml:space="preserve">Pilot runs 2 weeks with no Sev-1</t>
  </si>
  <si>
    <t xml:space="preserve">Title</t>
  </si>
  <si>
    <t xml:space="preserve">Priority</t>
  </si>
  <si>
    <t xml:space="preserve">Description</t>
  </si>
  <si>
    <t xml:space="preserve">Acceptance criteria</t>
  </si>
  <si>
    <t xml:space="preserve">Enable and verify database backups</t>
  </si>
  <si>
    <t xml:space="preserve">Enable automated backups/PITR on production Postgres; write restore-drill doc; perform one full restore to a scratch DB.</t>
  </si>
  <si>
    <t xml:space="preserve">Backup schedule visible at provider; restore drill passed with row-count verification (app_state, auth_users, practice_attempts); RPO/RTO documented.</t>
  </si>
  <si>
    <t xml:space="preserve">Make CI a real gate</t>
  </si>
  <si>
    <t xml:space="preserve">CI runs type-check, unit tests and next build on every push/PR; main is protected; deploy script requires green main.</t>
  </si>
  <si>
    <t xml:space="preserve">Red CI blocks merge; production deploy refuses non-green main; pipeline &lt; 15 min.</t>
  </si>
  <si>
    <t xml:space="preserve">Error tracking + uptime alerts</t>
  </si>
  <si>
    <t xml:space="preserve">Sentry (server+client) with release tags/source maps; uptime checks on /, /login, one authed API; alerts to watched channel.</t>
  </si>
  <si>
    <t xml:space="preserve">Test error appears in Sentry with release + route; downtime alert &lt; 5 min in test.</t>
  </si>
  <si>
    <t xml:space="preserve">Secret rotation + scanning</t>
  </si>
  <si>
    <t xml:space="preserve">Rotate all provider keys and session secret; delete 'All API Keys.docx'; secrets only in Vercel env + password manager; gitleaks pre-commit + CI + history scan.</t>
  </si>
  <si>
    <t xml:space="preserve">Old keys revoked (verified non-working); no secret files in tree; gitleaks green.</t>
  </si>
  <si>
    <t xml:space="preserve">Gate teacher registration; audit parent linking</t>
  </si>
  <si>
    <t xml:space="preserve">Invite code (admin-generated) required for role=teacher; parent-child links require verifiable code.</t>
  </si>
  <si>
    <t xml:space="preserve">Teacher signup without code → 403 (e2e); parent cannot link arbitrary student; security test extended.</t>
  </si>
  <si>
    <t xml:space="preserve">Durable rate limiting</t>
  </si>
  <si>
    <t xml:space="preserve">Postgres- or Upstash-backed limiter for login/register/reset + AI/OCR/speech routes; per-IP and per-user.</t>
  </si>
  <si>
    <t xml:space="preserve">Limits enforced across instances; AI routes have per-user daily caps; 429s carry Retry-After.</t>
  </si>
  <si>
    <t xml:space="preserve">app_state freeze ADR</t>
  </si>
  <si>
    <t xml:space="preserve">ADR: no new fields/domains in the JSON blob; document dual-write strangler recipe; update AGENTS.md/PR template.</t>
  </si>
  <si>
    <t xml:space="preserve">ADR merged in docs/adr; PR checklist has the checkbox; agent instructions updated.</t>
  </si>
  <si>
    <t xml:space="preserve">Migration framework</t>
  </si>
  <si>
    <t xml:space="preserve">Adopt node-pg-migrate/drizzle-kit; baseline existing tables; all future DDL via committed migrations run as deploy step.</t>
  </si>
  <si>
    <t xml:space="preserve">migrate up/down works locally + staging; runtime DDL removed or assertion-only.</t>
  </si>
  <si>
    <t xml:space="preserve">Shared API handler (auth + zod + envelope)</t>
  </si>
  <si>
    <t xml:space="preserve">withApiHandler: session, role, zod validation, {code,error,requestId} envelope, Origin check on mutations, request-ID log. Convert top-20 routes.</t>
  </si>
  <si>
    <t xml:space="preserve">Converted routes uniform; invalid body → 400 with field errors; wrapper unit-tested.</t>
  </si>
  <si>
    <t xml:space="preserve">Staging environment + release smoke</t>
  </si>
  <si>
    <t xml:space="preserve">Separate Vercel project + Postgres + seeded data; e2e smoke subset runs on staging for every release candidate.</t>
  </si>
  <si>
    <t xml:space="preserve">Staging live with own DB; smoke green required by deploy script.</t>
  </si>
  <si>
    <t xml:space="preserve">BK-11</t>
  </si>
  <si>
    <t xml:space="preserve">Strangler wave 1a: learning_events + lesson_progress</t>
  </si>
  <si>
    <t xml:space="preserve">Tables via migration; dual-write; backfill from blob; shadow-read parity ≥ 1 week; switch reads; stop blob writes. Snapshot before cutover.</t>
  </si>
  <si>
    <t xml:space="preserve">Parity ≥ 99.9%; reads from tables; blob no longer written for these domains; rollback path documented.</t>
  </si>
  <si>
    <t xml:space="preserve">BK-12</t>
  </si>
  <si>
    <t xml:space="preserve">Strangler wave 1b: messages + notices</t>
  </si>
  <si>
    <t xml:space="preserve">Same dual-write/backfill/parity/cutover recipe for teacher/parent messages and notices.</t>
  </si>
  <si>
    <t xml:space="preserve">Same gate as BK-11.</t>
  </si>
  <si>
    <t xml:space="preserve">Frontend resilience + performance pass</t>
  </si>
  <si>
    <t xml:space="preserve">error.tsx on all route groups; loading states verified; bundle analysis; dynamic-import three/phaser; remove data/ imports from client components; mobile check of 5 critical flows.</t>
  </si>
  <si>
    <t xml:space="preserve">No white-screen on thrown error (e2e); login/dashboard/practice first-load JS under agreed budget; before/after documented.</t>
  </si>
  <si>
    <t xml:space="preserve">Session revocation</t>
  </si>
  <si>
    <t xml:space="preserve">JD (SE review)</t>
  </si>
  <si>
    <t xml:space="preserve">sessions table (id, user, created, expires, revoked); token carries session id; revoke on password change/reset; log-out-all.</t>
  </si>
  <si>
    <t xml:space="preserve">Password change invalidates other browser (e2e); revoked token → 401 within 60s.</t>
  </si>
  <si>
    <t xml:space="preserve">BK-15</t>
  </si>
  <si>
    <t xml:space="preserve">Documentation reset</t>
  </si>
  <si>
    <t xml:space="preserve">JD+PO</t>
  </si>
  <si>
    <t xml:space="preserve">Rewrite README (real product/architecture/setup/env matrix); ARCHITECTURE.md; ONBOARDING.md; update site metadata off 'HK Math Lab Template'.</t>
  </si>
  <si>
    <t xml:space="preserve">New dev to running local app &lt; 1 hour from docs alone; live meta description updated.</t>
  </si>
  <si>
    <t xml:space="preserve">Standard test tooling</t>
  </si>
  <si>
    <t xml:space="preserve">Migrate node:test suites to Vitest with native TS paths; delete tsc→.tmp symlink pipeline; wire to CI.</t>
  </si>
  <si>
    <t xml:space="preserve">npm test &lt; 5 min; bespoke compile scripts removed; CI uses Vitest.</t>
  </si>
  <si>
    <t xml:space="preserve">Runtime pinning + storage assertion</t>
  </si>
  <si>
    <t xml:space="preserve">engines.node + .nvmrc matching Vercel; production boot asserts postgres provider + required env.</t>
  </si>
  <si>
    <t xml:space="preserve">Wrong Node fails loudly; prod boot with sqlite provider fails with clear error.</t>
  </si>
  <si>
    <t xml:space="preserve">BK-18</t>
  </si>
  <si>
    <t xml:space="preserve">Repo hygiene</t>
  </si>
  <si>
    <t xml:space="preserve">Archive coordination/ evidence, video-plan/, Users/, stray outputs; prune merged codex/* branches; document archive location.</t>
  </si>
  <si>
    <t xml:space="preserve">Tracked files &lt; 3,000; ≤ 5 active branches; archive documented.</t>
  </si>
  <si>
    <t xml:space="preserve">Classroom load test</t>
  </si>
  <si>
    <t xml:space="preserve">k6: 200 students login → practice → submit attempts + 10 teachers on analytics, against staging with prod-like volume.</t>
  </si>
  <si>
    <t xml:space="preserve">p95 attempt submit &lt; 2s; error rate &lt; 1%; top 3 bottlenecks ticketed with evidence.</t>
  </si>
  <si>
    <t xml:space="preserve">LLM budget guard</t>
  </si>
  <si>
    <t xml:space="preserve">Central per-provider/day spend tracking (extend existing budget code); hard cap with graceful UX; 80% alert.</t>
  </si>
  <si>
    <t xml:space="preserve">Simulated overage cuts AI routes only; owner alerted; caps per-env configurable.</t>
  </si>
  <si>
    <t xml:space="preserve">BK-21</t>
  </si>
  <si>
    <t xml:space="preserve">Security headers + dependency audit</t>
  </si>
  <si>
    <t xml:space="preserve">Headers via next.config (frame-ancestors, nosniff, referrer-policy, permissions-policy) + CSP report-only; npm audit triage.</t>
  </si>
  <si>
    <t xml:space="preserve">securityheaders.com ≥ A-; CSP reports logged; no unwaived high/critical deps.</t>
  </si>
  <si>
    <t xml:space="preserve">BK-22</t>
  </si>
  <si>
    <t xml:space="preserve">Admin audit log</t>
  </si>
  <si>
    <t xml:space="preserve">audit_log table written by admin endpoints (export, provisioning, policy, bootstrap-admin) + auth events.</t>
  </si>
  <si>
    <t xml:space="preserve">Admin export produces an audit row; queryable by user/date; retention documented.</t>
  </si>
  <si>
    <t xml:space="preserve">Rollback + incident runbook</t>
  </si>
  <si>
    <t xml:space="preserve">Document code rollback (Vercel), snapshot-before-cutover policy, migration down-path, incident first steps, comms template; run one game day.</t>
  </si>
  <si>
    <t xml:space="preserve">Runbook in repo; simulated staging incident resolved following it.</t>
  </si>
  <si>
    <t xml:space="preserve">Privacy pack</t>
  </si>
  <si>
    <t xml:space="preserve">Month 3 (start earlier)</t>
  </si>
  <si>
    <t xml:space="preserve">Policy + terms pages; registration consent; provider data-flow map + terms review; deletion/export path; LLM prompt minimization; verify media retention/encryption live.</t>
  </si>
  <si>
    <t xml:space="preserve">Policy linked at register/login; test deletion fulfilled end-to-end; data-flow map in docs; jurisdiction sign-off.</t>
  </si>
  <si>
    <t xml:space="preserve">Category</t>
  </si>
  <si>
    <t xml:space="preserve">Item</t>
  </si>
  <si>
    <t xml:space="preserve">Ticket</t>
  </si>
  <si>
    <t xml:space="preserve">Status</t>
  </si>
  <si>
    <t xml:space="preserve">Teacher registration gated by invite/approval</t>
  </si>
  <si>
    <t xml:space="preserve">Open</t>
  </si>
  <si>
    <t xml:space="preserve">Parent-child linking verified</t>
  </si>
  <si>
    <t xml:space="preserve">Session revocation + log-out-all</t>
  </si>
  <si>
    <t xml:space="preserve">Keys rotated; secrets only in Vercel env; key files deleted</t>
  </si>
  <si>
    <t xml:space="preserve">Secret scanning (gitleaks) in CI</t>
  </si>
  <si>
    <t xml:space="preserve">Security headers + CSP report-only</t>
  </si>
  <si>
    <t xml:space="preserve">Origin check on mutations</t>
  </si>
  <si>
    <t xml:space="preserve">Automated backups/PITR enabled</t>
  </si>
  <si>
    <t xml:space="preserve">Restore drill passed + documented</t>
  </si>
  <si>
    <t xml:space="preserve">Migration framework, baseline committed</t>
  </si>
  <si>
    <t xml:space="preserve">app_state freeze enforced</t>
  </si>
  <si>
    <t xml:space="preserve">Wave-1 domains on normalized tables</t>
  </si>
  <si>
    <t xml:space="preserve">BK-11/12</t>
  </si>
  <si>
    <t xml:space="preserve">Prod boot asserts postgres provider</t>
  </si>
  <si>
    <t xml:space="preserve">Deployment</t>
  </si>
  <si>
    <t xml:space="preserve">CI green required to merge + deploy</t>
  </si>
  <si>
    <t xml:space="preserve">Staging env with seeded data</t>
  </si>
  <si>
    <t xml:space="preserve">Release smoke suite on staging</t>
  </si>
  <si>
    <t xml:space="preserve">Rollback runbook (code + data)</t>
  </si>
  <si>
    <t xml:space="preserve">Node pinned; env matrix documented</t>
  </si>
  <si>
    <t xml:space="preserve">BK-17/18</t>
  </si>
  <si>
    <t xml:space="preserve">Testing</t>
  </si>
  <si>
    <t xml:space="preserve">Unit tests + build on every PR</t>
  </si>
  <si>
    <t xml:space="preserve">5 critical e2e flows green per release</t>
  </si>
  <si>
    <t xml:space="preserve">Load test passed (200 students, p95 &lt; 2s)</t>
  </si>
  <si>
    <t xml:space="preserve">Monitoring</t>
  </si>
  <si>
    <t xml:space="preserve">Sentry alerting to watched channel</t>
  </si>
  <si>
    <t xml:space="preserve">Uptime checks live</t>
  </si>
  <si>
    <t xml:space="preserve">LLM spend alarm + hard cap</t>
  </si>
  <si>
    <t xml:space="preserve">Documentation</t>
  </si>
  <si>
    <t xml:space="preserve">README/ARCHITECTURE/ONBOARDING current</t>
  </si>
  <si>
    <t xml:space="preserve">Incident runbook</t>
  </si>
  <si>
    <t xml:space="preserve">Data-flow / privacy map</t>
  </si>
  <si>
    <t xml:space="preserve">UX</t>
  </si>
  <si>
    <t xml:space="preserve">error.tsx boundaries everywhere</t>
  </si>
  <si>
    <t xml:space="preserve">Loading states on data pages</t>
  </si>
  <si>
    <t xml:space="preserve">Mobile check of 5 critical flows</t>
  </si>
  <si>
    <t xml:space="preserve">Bilingual copy pass on core flows</t>
  </si>
  <si>
    <t xml:space="preserve">Policy + terms published, linked at signup</t>
  </si>
  <si>
    <t xml:space="preserve">Consent capture at registration</t>
  </si>
  <si>
    <t xml:space="preserve">Provider inventory + terms reviewed</t>
  </si>
  <si>
    <t xml:space="preserve">Deletion/export path works</t>
  </si>
  <si>
    <t xml:space="preserve">LLM data minimization documented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</si>
</sst>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DEEBF7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4DFEC"/>
        <bgColor rgb="FFDE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99CCFF"/>
      <rgbColor rgb="FFFBE5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15" hidden="false" customHeight="false" outlineLevel="0" collapsed="false">
      <c r="B6" s="4" t="s">
        <v>4</v>
      </c>
      <c r="C6" s="4" t="s">
        <v>5</v>
      </c>
    </row>
    <row r="7" customFormat="false" ht="15" hidden="false" customHeight="false" outlineLevel="0" collapsed="false">
      <c r="B7" s="4" t="s">
        <v>6</v>
      </c>
      <c r="C7" s="4" t="s">
        <v>7</v>
      </c>
    </row>
    <row r="8" customFormat="false" ht="15" hidden="false" customHeight="false" outlineLevel="0" collapsed="false">
      <c r="B8" s="4" t="s">
        <v>8</v>
      </c>
      <c r="C8" s="4" t="s">
        <v>9</v>
      </c>
    </row>
    <row r="9" customFormat="false" ht="15" hidden="false" customHeight="false" outlineLevel="0" collapsed="false">
      <c r="B9" s="0" t="s">
        <v>10</v>
      </c>
      <c r="C9" s="0" t="s">
        <v>11</v>
      </c>
    </row>
    <row r="11" customFormat="false" ht="15" hidden="false" customHeight="false" outlineLevel="0" collapsed="false">
      <c r="B11" s="5" t="s">
        <v>12</v>
      </c>
    </row>
    <row r="12" customFormat="false" ht="15" hidden="false" customHeight="false" outlineLevel="0" collapsed="false">
      <c r="B12" s="6" t="s">
        <v>13</v>
      </c>
      <c r="C12" s="6" t="n">
        <f aca="false">COUNTIF('Issues Register'!C:C,B12)</f>
        <v>5</v>
      </c>
    </row>
    <row r="13" customFormat="false" ht="15" hidden="false" customHeight="false" outlineLevel="0" collapsed="false">
      <c r="B13" s="6" t="s">
        <v>14</v>
      </c>
      <c r="C13" s="6" t="n">
        <f aca="false">COUNTIF('Issues Register'!C:C,B13)</f>
        <v>8</v>
      </c>
    </row>
    <row r="14" customFormat="false" ht="15" hidden="false" customHeight="false" outlineLevel="0" collapsed="false">
      <c r="B14" s="6" t="s">
        <v>15</v>
      </c>
      <c r="C14" s="6" t="n">
        <f aca="false">COUNTIF('Issues Register'!C:C,B14)</f>
        <v>5</v>
      </c>
    </row>
    <row r="15" customFormat="false" ht="15" hidden="false" customHeight="false" outlineLevel="0" collapsed="false">
      <c r="B15" s="7" t="s">
        <v>16</v>
      </c>
      <c r="C15" s="7" t="n">
        <f aca="false">SUM(C12:C14)</f>
        <v>18</v>
      </c>
    </row>
    <row r="17" customFormat="false" ht="15" hidden="false" customHeight="false" outlineLevel="0" collapsed="false">
      <c r="B17" s="5" t="s">
        <v>17</v>
      </c>
    </row>
    <row r="18" customFormat="false" ht="15" hidden="false" customHeight="false" outlineLevel="0" collapsed="false">
      <c r="B18" s="6" t="s">
        <v>18</v>
      </c>
      <c r="C18" s="6" t="n">
        <f aca="false">COUNTIF(Backlog!C:C,B18)</f>
        <v>7</v>
      </c>
    </row>
    <row r="19" customFormat="false" ht="15" hidden="false" customHeight="false" outlineLevel="0" collapsed="false">
      <c r="B19" s="6" t="s">
        <v>19</v>
      </c>
      <c r="C19" s="6" t="n">
        <f aca="false">COUNTIF(Backlog!C:C,B19)</f>
        <v>6</v>
      </c>
    </row>
    <row r="20" customFormat="false" ht="15" hidden="false" customHeight="false" outlineLevel="0" collapsed="false">
      <c r="B20" s="6" t="s">
        <v>20</v>
      </c>
      <c r="C20" s="6" t="n">
        <f aca="false">COUNTIF(Backlog!C:C,B20)</f>
        <v>6</v>
      </c>
    </row>
    <row r="21" customFormat="false" ht="15" hidden="false" customHeight="false" outlineLevel="0" collapsed="false">
      <c r="B21" s="6" t="s">
        <v>21</v>
      </c>
      <c r="C21" s="6" t="n">
        <f aca="false">COUNTIF(Backlog!C:C,B21)</f>
        <v>5</v>
      </c>
    </row>
    <row r="22" customFormat="false" ht="15" hidden="false" customHeight="false" outlineLevel="0" collapsed="false">
      <c r="B22" s="7" t="s">
        <v>22</v>
      </c>
      <c r="C22" s="7" t="n">
        <f aca="false">SUM(C18:C21)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34"/>
    <col collapsed="false" customWidth="true" hidden="false" outlineLevel="0" max="8" min="8" style="0" width="40"/>
    <col collapsed="false" customWidth="true" hidden="false" outlineLevel="0" max="9" min="9" style="0" width="7"/>
    <col collapsed="false" customWidth="true" hidden="false" outlineLevel="0" max="11" min="10" style="0" width="16"/>
    <col collapsed="false" customWidth="true" hidden="false" outlineLevel="0" max="12" min="12" style="0" width="12"/>
  </cols>
  <sheetData>
    <row r="1" customFormat="false" ht="23.85" hidden="false" customHeight="false" outlineLevel="0" collapsed="false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</row>
    <row r="2" customFormat="false" ht="57.45" hidden="false" customHeight="false" outlineLevel="0" collapsed="false">
      <c r="A2" s="9" t="s">
        <v>35</v>
      </c>
      <c r="B2" s="4" t="s">
        <v>36</v>
      </c>
      <c r="C2" s="10" t="s">
        <v>13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9" t="s">
        <v>42</v>
      </c>
      <c r="J2" s="4" t="s">
        <v>43</v>
      </c>
      <c r="K2" s="4" t="s">
        <v>44</v>
      </c>
      <c r="L2" s="4" t="s">
        <v>45</v>
      </c>
    </row>
    <row r="3" customFormat="false" ht="35.05" hidden="false" customHeight="false" outlineLevel="0" collapsed="false">
      <c r="A3" s="9" t="s">
        <v>46</v>
      </c>
      <c r="B3" s="4" t="s">
        <v>47</v>
      </c>
      <c r="C3" s="10" t="s">
        <v>13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9" t="s">
        <v>53</v>
      </c>
      <c r="J3" s="4" t="s">
        <v>54</v>
      </c>
      <c r="K3" s="4" t="s">
        <v>55</v>
      </c>
      <c r="L3" s="4" t="s">
        <v>56</v>
      </c>
    </row>
    <row r="4" customFormat="false" ht="35.05" hidden="false" customHeight="false" outlineLevel="0" collapsed="false">
      <c r="A4" s="9" t="s">
        <v>57</v>
      </c>
      <c r="B4" s="4" t="s">
        <v>58</v>
      </c>
      <c r="C4" s="10" t="s">
        <v>13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  <c r="I4" s="9" t="s">
        <v>64</v>
      </c>
      <c r="J4" s="4" t="s">
        <v>65</v>
      </c>
      <c r="K4" s="4" t="s">
        <v>66</v>
      </c>
      <c r="L4" s="4" t="s">
        <v>67</v>
      </c>
    </row>
    <row r="5" customFormat="false" ht="46.25" hidden="false" customHeight="false" outlineLevel="0" collapsed="false">
      <c r="A5" s="9" t="s">
        <v>68</v>
      </c>
      <c r="B5" s="4" t="s">
        <v>69</v>
      </c>
      <c r="C5" s="10" t="s">
        <v>13</v>
      </c>
      <c r="D5" s="4" t="s">
        <v>70</v>
      </c>
      <c r="E5" s="4" t="s">
        <v>71</v>
      </c>
      <c r="F5" s="4" t="s">
        <v>72</v>
      </c>
      <c r="G5" s="4" t="s">
        <v>73</v>
      </c>
      <c r="H5" s="4" t="s">
        <v>74</v>
      </c>
      <c r="I5" s="9" t="s">
        <v>64</v>
      </c>
      <c r="J5" s="4" t="s">
        <v>75</v>
      </c>
      <c r="K5" s="4" t="s">
        <v>66</v>
      </c>
      <c r="L5" s="4" t="s">
        <v>76</v>
      </c>
    </row>
    <row r="6" customFormat="false" ht="57.45" hidden="false" customHeight="false" outlineLevel="0" collapsed="false">
      <c r="A6" s="9" t="s">
        <v>77</v>
      </c>
      <c r="B6" s="4" t="s">
        <v>78</v>
      </c>
      <c r="C6" s="10" t="s">
        <v>13</v>
      </c>
      <c r="D6" s="4" t="s">
        <v>79</v>
      </c>
      <c r="E6" s="4" t="s">
        <v>80</v>
      </c>
      <c r="F6" s="4" t="s">
        <v>81</v>
      </c>
      <c r="G6" s="4" t="s">
        <v>82</v>
      </c>
      <c r="H6" s="4" t="s">
        <v>83</v>
      </c>
      <c r="I6" s="9" t="s">
        <v>53</v>
      </c>
      <c r="J6" s="4" t="s">
        <v>84</v>
      </c>
      <c r="K6" s="4" t="s">
        <v>85</v>
      </c>
      <c r="L6" s="4" t="s">
        <v>86</v>
      </c>
    </row>
    <row r="7" customFormat="false" ht="35.05" hidden="false" customHeight="false" outlineLevel="0" collapsed="false">
      <c r="A7" s="9" t="s">
        <v>87</v>
      </c>
      <c r="B7" s="4" t="s">
        <v>88</v>
      </c>
      <c r="C7" s="11" t="s">
        <v>14</v>
      </c>
      <c r="D7" s="4" t="s">
        <v>89</v>
      </c>
      <c r="E7" s="4" t="s">
        <v>90</v>
      </c>
      <c r="F7" s="4" t="s">
        <v>91</v>
      </c>
      <c r="G7" s="4" t="s">
        <v>92</v>
      </c>
      <c r="H7" s="4" t="s">
        <v>93</v>
      </c>
      <c r="I7" s="9" t="s">
        <v>53</v>
      </c>
      <c r="J7" s="4" t="s">
        <v>94</v>
      </c>
      <c r="K7" s="4" t="s">
        <v>95</v>
      </c>
      <c r="L7" s="4" t="s">
        <v>96</v>
      </c>
    </row>
    <row r="8" customFormat="false" ht="35.05" hidden="false" customHeight="false" outlineLevel="0" collapsed="false">
      <c r="A8" s="9" t="s">
        <v>97</v>
      </c>
      <c r="B8" s="4" t="s">
        <v>98</v>
      </c>
      <c r="C8" s="11" t="s">
        <v>14</v>
      </c>
      <c r="D8" s="4" t="s">
        <v>99</v>
      </c>
      <c r="E8" s="4" t="s">
        <v>100</v>
      </c>
      <c r="F8" s="4" t="s">
        <v>101</v>
      </c>
      <c r="G8" s="4" t="s">
        <v>102</v>
      </c>
      <c r="H8" s="4" t="s">
        <v>103</v>
      </c>
      <c r="I8" s="9" t="s">
        <v>104</v>
      </c>
      <c r="J8" s="4" t="s">
        <v>75</v>
      </c>
      <c r="K8" s="4" t="s">
        <v>105</v>
      </c>
      <c r="L8" s="4" t="s">
        <v>106</v>
      </c>
    </row>
    <row r="9" customFormat="false" ht="35.05" hidden="false" customHeight="false" outlineLevel="0" collapsed="false">
      <c r="A9" s="9" t="s">
        <v>107</v>
      </c>
      <c r="B9" s="4" t="s">
        <v>108</v>
      </c>
      <c r="C9" s="11" t="s">
        <v>14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9" t="s">
        <v>104</v>
      </c>
      <c r="J9" s="4" t="s">
        <v>75</v>
      </c>
      <c r="K9" s="4" t="s">
        <v>105</v>
      </c>
      <c r="L9" s="4" t="s">
        <v>114</v>
      </c>
    </row>
    <row r="10" customFormat="false" ht="35.05" hidden="false" customHeight="false" outlineLevel="0" collapsed="false">
      <c r="A10" s="9" t="s">
        <v>115</v>
      </c>
      <c r="B10" s="4" t="s">
        <v>116</v>
      </c>
      <c r="C10" s="11" t="s">
        <v>14</v>
      </c>
      <c r="D10" s="4" t="s">
        <v>117</v>
      </c>
      <c r="E10" s="4" t="s">
        <v>118</v>
      </c>
      <c r="F10" s="4" t="s">
        <v>119</v>
      </c>
      <c r="G10" s="4" t="s">
        <v>120</v>
      </c>
      <c r="H10" s="4" t="s">
        <v>121</v>
      </c>
      <c r="I10" s="9" t="s">
        <v>64</v>
      </c>
      <c r="J10" s="4" t="s">
        <v>75</v>
      </c>
      <c r="K10" s="4" t="s">
        <v>66</v>
      </c>
      <c r="L10" s="4" t="s">
        <v>122</v>
      </c>
    </row>
    <row r="11" customFormat="false" ht="46.25" hidden="false" customHeight="false" outlineLevel="0" collapsed="false">
      <c r="A11" s="9" t="s">
        <v>123</v>
      </c>
      <c r="B11" s="4" t="s">
        <v>124</v>
      </c>
      <c r="C11" s="11" t="s">
        <v>14</v>
      </c>
      <c r="D11" s="4" t="s">
        <v>125</v>
      </c>
      <c r="E11" s="4" t="s">
        <v>126</v>
      </c>
      <c r="F11" s="4" t="s">
        <v>127</v>
      </c>
      <c r="G11" s="4" t="s">
        <v>128</v>
      </c>
      <c r="H11" s="4" t="s">
        <v>129</v>
      </c>
      <c r="I11" s="9" t="s">
        <v>42</v>
      </c>
      <c r="J11" s="4" t="s">
        <v>130</v>
      </c>
      <c r="K11" s="4" t="s">
        <v>131</v>
      </c>
      <c r="L11" s="4" t="s">
        <v>132</v>
      </c>
    </row>
    <row r="12" customFormat="false" ht="35.05" hidden="false" customHeight="false" outlineLevel="0" collapsed="false">
      <c r="A12" s="9" t="s">
        <v>133</v>
      </c>
      <c r="B12" s="4" t="s">
        <v>134</v>
      </c>
      <c r="C12" s="11" t="s">
        <v>14</v>
      </c>
      <c r="D12" s="4" t="s">
        <v>135</v>
      </c>
      <c r="E12" s="4" t="s">
        <v>136</v>
      </c>
      <c r="F12" s="4" t="s">
        <v>137</v>
      </c>
      <c r="G12" s="4" t="s">
        <v>138</v>
      </c>
      <c r="H12" s="4" t="s">
        <v>139</v>
      </c>
      <c r="I12" s="9" t="s">
        <v>53</v>
      </c>
      <c r="J12" s="4" t="s">
        <v>75</v>
      </c>
      <c r="K12" s="4" t="s">
        <v>140</v>
      </c>
      <c r="L12" s="4" t="s">
        <v>141</v>
      </c>
    </row>
    <row r="13" customFormat="false" ht="46.25" hidden="false" customHeight="false" outlineLevel="0" collapsed="false">
      <c r="A13" s="9" t="s">
        <v>142</v>
      </c>
      <c r="B13" s="4" t="s">
        <v>143</v>
      </c>
      <c r="C13" s="11" t="s">
        <v>14</v>
      </c>
      <c r="D13" s="4" t="s">
        <v>89</v>
      </c>
      <c r="E13" s="4" t="s">
        <v>144</v>
      </c>
      <c r="F13" s="4" t="s">
        <v>145</v>
      </c>
      <c r="G13" s="4" t="s">
        <v>146</v>
      </c>
      <c r="H13" s="4" t="s">
        <v>147</v>
      </c>
      <c r="I13" s="9" t="s">
        <v>64</v>
      </c>
      <c r="J13" s="4" t="s">
        <v>148</v>
      </c>
      <c r="K13" s="4" t="s">
        <v>66</v>
      </c>
      <c r="L13" s="4" t="s">
        <v>149</v>
      </c>
    </row>
    <row r="14" customFormat="false" ht="46.25" hidden="false" customHeight="false" outlineLevel="0" collapsed="false">
      <c r="A14" s="9" t="s">
        <v>150</v>
      </c>
      <c r="B14" s="4" t="s">
        <v>151</v>
      </c>
      <c r="C14" s="11" t="s">
        <v>14</v>
      </c>
      <c r="D14" s="4" t="s">
        <v>152</v>
      </c>
      <c r="E14" s="4" t="s">
        <v>153</v>
      </c>
      <c r="F14" s="4" t="s">
        <v>154</v>
      </c>
      <c r="G14" s="4" t="s">
        <v>155</v>
      </c>
      <c r="H14" s="4" t="s">
        <v>156</v>
      </c>
      <c r="I14" s="9" t="s">
        <v>53</v>
      </c>
      <c r="J14" s="4" t="s">
        <v>157</v>
      </c>
      <c r="K14" s="4" t="s">
        <v>95</v>
      </c>
      <c r="L14" s="4" t="s">
        <v>158</v>
      </c>
    </row>
    <row r="15" customFormat="false" ht="35.05" hidden="false" customHeight="false" outlineLevel="0" collapsed="false">
      <c r="A15" s="9" t="s">
        <v>159</v>
      </c>
      <c r="B15" s="4" t="s">
        <v>160</v>
      </c>
      <c r="C15" s="12" t="s">
        <v>15</v>
      </c>
      <c r="D15" s="4" t="s">
        <v>70</v>
      </c>
      <c r="E15" s="4" t="s">
        <v>161</v>
      </c>
      <c r="F15" s="4" t="s">
        <v>162</v>
      </c>
      <c r="G15" s="4" t="s">
        <v>163</v>
      </c>
      <c r="H15" s="4" t="s">
        <v>164</v>
      </c>
      <c r="I15" s="9" t="s">
        <v>53</v>
      </c>
      <c r="J15" s="4" t="s">
        <v>75</v>
      </c>
      <c r="K15" s="4" t="s">
        <v>95</v>
      </c>
      <c r="L15" s="4" t="s">
        <v>165</v>
      </c>
    </row>
    <row r="16" customFormat="false" ht="46.25" hidden="false" customHeight="false" outlineLevel="0" collapsed="false">
      <c r="A16" s="9" t="s">
        <v>166</v>
      </c>
      <c r="B16" s="4" t="s">
        <v>167</v>
      </c>
      <c r="C16" s="12" t="s">
        <v>15</v>
      </c>
      <c r="D16" s="4" t="s">
        <v>168</v>
      </c>
      <c r="E16" s="4" t="s">
        <v>169</v>
      </c>
      <c r="F16" s="4" t="s">
        <v>170</v>
      </c>
      <c r="G16" s="4" t="s">
        <v>171</v>
      </c>
      <c r="H16" s="4" t="s">
        <v>172</v>
      </c>
      <c r="I16" s="9" t="s">
        <v>53</v>
      </c>
      <c r="J16" s="4" t="s">
        <v>173</v>
      </c>
      <c r="K16" s="4" t="s">
        <v>95</v>
      </c>
      <c r="L16" s="4" t="s">
        <v>174</v>
      </c>
    </row>
    <row r="17" customFormat="false" ht="46.25" hidden="false" customHeight="false" outlineLevel="0" collapsed="false">
      <c r="A17" s="9" t="s">
        <v>175</v>
      </c>
      <c r="B17" s="4" t="s">
        <v>176</v>
      </c>
      <c r="C17" s="12" t="s">
        <v>15</v>
      </c>
      <c r="D17" s="4" t="s">
        <v>177</v>
      </c>
      <c r="E17" s="4" t="s">
        <v>178</v>
      </c>
      <c r="F17" s="4" t="s">
        <v>179</v>
      </c>
      <c r="G17" s="4" t="s">
        <v>180</v>
      </c>
      <c r="H17" s="4" t="s">
        <v>181</v>
      </c>
      <c r="I17" s="9" t="s">
        <v>53</v>
      </c>
      <c r="J17" s="4" t="s">
        <v>75</v>
      </c>
      <c r="K17" s="4" t="s">
        <v>55</v>
      </c>
      <c r="L17" s="4" t="s">
        <v>182</v>
      </c>
    </row>
    <row r="18" customFormat="false" ht="35.05" hidden="false" customHeight="false" outlineLevel="0" collapsed="false">
      <c r="A18" s="9" t="s">
        <v>183</v>
      </c>
      <c r="B18" s="4" t="s">
        <v>184</v>
      </c>
      <c r="C18" s="12" t="s">
        <v>15</v>
      </c>
      <c r="D18" s="4" t="s">
        <v>185</v>
      </c>
      <c r="E18" s="4" t="s">
        <v>186</v>
      </c>
      <c r="F18" s="4" t="s">
        <v>187</v>
      </c>
      <c r="G18" s="4" t="s">
        <v>188</v>
      </c>
      <c r="H18" s="4" t="s">
        <v>189</v>
      </c>
      <c r="I18" s="9" t="s">
        <v>64</v>
      </c>
      <c r="J18" s="4" t="s">
        <v>75</v>
      </c>
      <c r="K18" s="4" t="s">
        <v>55</v>
      </c>
      <c r="L18" s="4" t="s">
        <v>190</v>
      </c>
    </row>
    <row r="19" customFormat="false" ht="35.05" hidden="false" customHeight="false" outlineLevel="0" collapsed="false">
      <c r="A19" s="9" t="s">
        <v>191</v>
      </c>
      <c r="B19" s="4" t="s">
        <v>192</v>
      </c>
      <c r="C19" s="12" t="s">
        <v>15</v>
      </c>
      <c r="D19" s="4" t="s">
        <v>89</v>
      </c>
      <c r="E19" s="4" t="s">
        <v>193</v>
      </c>
      <c r="F19" s="4" t="s">
        <v>194</v>
      </c>
      <c r="G19" s="4" t="s">
        <v>195</v>
      </c>
      <c r="H19" s="4" t="s">
        <v>196</v>
      </c>
      <c r="I19" s="9" t="s">
        <v>64</v>
      </c>
      <c r="J19" s="4" t="s">
        <v>75</v>
      </c>
      <c r="K19" s="4" t="s">
        <v>95</v>
      </c>
      <c r="L19" s="4" t="s">
        <v>141</v>
      </c>
    </row>
  </sheetData>
  <autoFilter ref="A1:L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8" t="s">
        <v>197</v>
      </c>
      <c r="B1" s="8" t="s">
        <v>198</v>
      </c>
      <c r="C1" s="8" t="s">
        <v>199</v>
      </c>
      <c r="D1" s="8" t="s">
        <v>200</v>
      </c>
      <c r="E1" s="8" t="s">
        <v>201</v>
      </c>
      <c r="F1" s="8" t="s">
        <v>202</v>
      </c>
      <c r="G1" s="8" t="s">
        <v>203</v>
      </c>
    </row>
    <row r="2" customFormat="false" ht="23.85" hidden="false" customHeight="false" outlineLevel="0" collapsed="false">
      <c r="A2" s="13" t="s">
        <v>204</v>
      </c>
      <c r="B2" s="4" t="s">
        <v>105</v>
      </c>
      <c r="C2" s="4" t="s">
        <v>205</v>
      </c>
      <c r="D2" s="4" t="s">
        <v>206</v>
      </c>
      <c r="E2" s="4" t="s">
        <v>67</v>
      </c>
      <c r="F2" s="4" t="s">
        <v>207</v>
      </c>
      <c r="G2" s="4" t="s">
        <v>208</v>
      </c>
    </row>
    <row r="3" customFormat="false" ht="23.85" hidden="false" customHeight="false" outlineLevel="0" collapsed="false">
      <c r="A3" s="13" t="s">
        <v>204</v>
      </c>
      <c r="B3" s="4" t="s">
        <v>105</v>
      </c>
      <c r="C3" s="4" t="s">
        <v>209</v>
      </c>
      <c r="D3" s="4" t="s">
        <v>210</v>
      </c>
      <c r="E3" s="4" t="s">
        <v>76</v>
      </c>
      <c r="F3" s="4" t="s">
        <v>211</v>
      </c>
      <c r="G3" s="4" t="s">
        <v>212</v>
      </c>
    </row>
    <row r="4" customFormat="false" ht="15" hidden="false" customHeight="false" outlineLevel="0" collapsed="false">
      <c r="A4" s="13" t="s">
        <v>204</v>
      </c>
      <c r="B4" s="4" t="s">
        <v>105</v>
      </c>
      <c r="C4" s="4" t="s">
        <v>213</v>
      </c>
      <c r="D4" s="4" t="s">
        <v>214</v>
      </c>
      <c r="E4" s="4" t="s">
        <v>122</v>
      </c>
      <c r="F4" s="4" t="s">
        <v>211</v>
      </c>
      <c r="G4" s="4" t="s">
        <v>215</v>
      </c>
    </row>
    <row r="5" customFormat="false" ht="23.85" hidden="false" customHeight="false" outlineLevel="0" collapsed="false">
      <c r="A5" s="13" t="s">
        <v>204</v>
      </c>
      <c r="B5" s="4" t="s">
        <v>105</v>
      </c>
      <c r="C5" s="4" t="s">
        <v>216</v>
      </c>
      <c r="D5" s="4" t="s">
        <v>217</v>
      </c>
      <c r="E5" s="4" t="s">
        <v>149</v>
      </c>
      <c r="F5" s="4" t="s">
        <v>218</v>
      </c>
      <c r="G5" s="4" t="s">
        <v>219</v>
      </c>
    </row>
    <row r="6" customFormat="false" ht="15" hidden="false" customHeight="false" outlineLevel="0" collapsed="false">
      <c r="A6" s="13" t="s">
        <v>204</v>
      </c>
      <c r="B6" s="4" t="s">
        <v>105</v>
      </c>
      <c r="C6" s="4" t="s">
        <v>220</v>
      </c>
      <c r="D6" s="4" t="s">
        <v>221</v>
      </c>
      <c r="E6" s="4" t="s">
        <v>106</v>
      </c>
      <c r="F6" s="4" t="s">
        <v>211</v>
      </c>
      <c r="G6" s="4" t="s">
        <v>222</v>
      </c>
    </row>
    <row r="7" customFormat="false" ht="15" hidden="false" customHeight="false" outlineLevel="0" collapsed="false">
      <c r="A7" s="13" t="s">
        <v>204</v>
      </c>
      <c r="B7" s="4" t="s">
        <v>105</v>
      </c>
      <c r="C7" s="4" t="s">
        <v>223</v>
      </c>
      <c r="D7" s="4" t="s">
        <v>224</v>
      </c>
      <c r="E7" s="4" t="s">
        <v>114</v>
      </c>
      <c r="F7" s="4" t="s">
        <v>211</v>
      </c>
      <c r="G7" s="4" t="s">
        <v>225</v>
      </c>
    </row>
    <row r="8" customFormat="false" ht="15" hidden="false" customHeight="false" outlineLevel="0" collapsed="false">
      <c r="A8" s="13" t="s">
        <v>204</v>
      </c>
      <c r="B8" s="4" t="s">
        <v>105</v>
      </c>
      <c r="C8" s="4" t="s">
        <v>226</v>
      </c>
      <c r="D8" s="4" t="s">
        <v>227</v>
      </c>
      <c r="E8" s="4" t="s">
        <v>228</v>
      </c>
      <c r="F8" s="4" t="s">
        <v>229</v>
      </c>
      <c r="G8" s="4" t="s">
        <v>230</v>
      </c>
    </row>
    <row r="9" customFormat="false" ht="23.85" hidden="false" customHeight="false" outlineLevel="0" collapsed="false">
      <c r="A9" s="14" t="s">
        <v>231</v>
      </c>
      <c r="B9" s="4" t="s">
        <v>55</v>
      </c>
      <c r="C9" s="4" t="s">
        <v>232</v>
      </c>
      <c r="D9" s="4" t="s">
        <v>233</v>
      </c>
      <c r="E9" s="4" t="s">
        <v>56</v>
      </c>
      <c r="F9" s="4" t="s">
        <v>234</v>
      </c>
      <c r="G9" s="4" t="s">
        <v>235</v>
      </c>
    </row>
    <row r="10" customFormat="false" ht="23.85" hidden="false" customHeight="false" outlineLevel="0" collapsed="false">
      <c r="A10" s="14" t="s">
        <v>231</v>
      </c>
      <c r="B10" s="4" t="s">
        <v>55</v>
      </c>
      <c r="C10" s="4" t="s">
        <v>236</v>
      </c>
      <c r="D10" s="4" t="s">
        <v>237</v>
      </c>
      <c r="E10" s="4" t="s">
        <v>141</v>
      </c>
      <c r="F10" s="4" t="s">
        <v>211</v>
      </c>
      <c r="G10" s="4" t="s">
        <v>238</v>
      </c>
    </row>
    <row r="11" customFormat="false" ht="23.85" hidden="false" customHeight="false" outlineLevel="0" collapsed="false">
      <c r="A11" s="14" t="s">
        <v>231</v>
      </c>
      <c r="B11" s="4" t="s">
        <v>55</v>
      </c>
      <c r="C11" s="4" t="s">
        <v>239</v>
      </c>
      <c r="D11" s="4" t="s">
        <v>240</v>
      </c>
      <c r="E11" s="4" t="s">
        <v>241</v>
      </c>
      <c r="F11" s="4" t="s">
        <v>207</v>
      </c>
      <c r="G11" s="4" t="s">
        <v>242</v>
      </c>
    </row>
    <row r="12" customFormat="false" ht="23.85" hidden="false" customHeight="false" outlineLevel="0" collapsed="false">
      <c r="A12" s="14" t="s">
        <v>231</v>
      </c>
      <c r="B12" s="4" t="s">
        <v>55</v>
      </c>
      <c r="C12" s="4" t="s">
        <v>243</v>
      </c>
      <c r="D12" s="4" t="s">
        <v>244</v>
      </c>
      <c r="E12" s="4" t="s">
        <v>245</v>
      </c>
      <c r="F12" s="4" t="s">
        <v>211</v>
      </c>
      <c r="G12" s="4" t="s">
        <v>246</v>
      </c>
    </row>
    <row r="13" customFormat="false" ht="23.85" hidden="false" customHeight="false" outlineLevel="0" collapsed="false">
      <c r="A13" s="15" t="s">
        <v>247</v>
      </c>
      <c r="B13" s="4" t="s">
        <v>95</v>
      </c>
      <c r="C13" s="4" t="s">
        <v>248</v>
      </c>
      <c r="D13" s="4" t="s">
        <v>249</v>
      </c>
      <c r="E13" s="4" t="s">
        <v>132</v>
      </c>
      <c r="F13" s="4" t="s">
        <v>234</v>
      </c>
      <c r="G13" s="4" t="s">
        <v>250</v>
      </c>
    </row>
    <row r="14" customFormat="false" ht="15" hidden="false" customHeight="false" outlineLevel="0" collapsed="false">
      <c r="A14" s="15" t="s">
        <v>247</v>
      </c>
      <c r="B14" s="4" t="s">
        <v>95</v>
      </c>
      <c r="C14" s="4" t="s">
        <v>251</v>
      </c>
      <c r="D14" s="4" t="s">
        <v>252</v>
      </c>
      <c r="E14" s="4" t="s">
        <v>158</v>
      </c>
      <c r="F14" s="4" t="s">
        <v>229</v>
      </c>
      <c r="G14" s="4" t="s">
        <v>253</v>
      </c>
    </row>
    <row r="15" customFormat="false" ht="23.85" hidden="false" customHeight="false" outlineLevel="0" collapsed="false">
      <c r="A15" s="15" t="s">
        <v>247</v>
      </c>
      <c r="B15" s="4" t="s">
        <v>95</v>
      </c>
      <c r="C15" s="4" t="s">
        <v>254</v>
      </c>
      <c r="D15" s="4" t="s">
        <v>255</v>
      </c>
      <c r="E15" s="4" t="s">
        <v>256</v>
      </c>
      <c r="F15" s="4" t="s">
        <v>257</v>
      </c>
      <c r="G15" s="4" t="s">
        <v>258</v>
      </c>
    </row>
    <row r="16" customFormat="false" ht="23.85" hidden="false" customHeight="false" outlineLevel="0" collapsed="false">
      <c r="A16" s="15" t="s">
        <v>247</v>
      </c>
      <c r="B16" s="4" t="s">
        <v>95</v>
      </c>
      <c r="C16" s="4" t="s">
        <v>259</v>
      </c>
      <c r="D16" s="4" t="s">
        <v>260</v>
      </c>
      <c r="E16" s="4" t="s">
        <v>96</v>
      </c>
      <c r="F16" s="4" t="s">
        <v>211</v>
      </c>
      <c r="G16" s="4" t="s">
        <v>261</v>
      </c>
    </row>
    <row r="17" customFormat="false" ht="15" hidden="false" customHeight="false" outlineLevel="0" collapsed="false">
      <c r="A17" s="15" t="s">
        <v>247</v>
      </c>
      <c r="B17" s="4" t="s">
        <v>95</v>
      </c>
      <c r="C17" s="4" t="s">
        <v>262</v>
      </c>
      <c r="D17" s="4" t="s">
        <v>263</v>
      </c>
      <c r="E17" s="4" t="s">
        <v>165</v>
      </c>
      <c r="F17" s="4" t="s">
        <v>211</v>
      </c>
      <c r="G17" s="4" t="s">
        <v>264</v>
      </c>
    </row>
    <row r="18" customFormat="false" ht="23.85" hidden="false" customHeight="false" outlineLevel="0" collapsed="false">
      <c r="A18" s="15" t="s">
        <v>247</v>
      </c>
      <c r="B18" s="4" t="s">
        <v>95</v>
      </c>
      <c r="C18" s="4" t="s">
        <v>265</v>
      </c>
      <c r="D18" s="4" t="s">
        <v>266</v>
      </c>
      <c r="E18" s="4" t="s">
        <v>174</v>
      </c>
      <c r="F18" s="4" t="s">
        <v>267</v>
      </c>
      <c r="G18" s="4" t="s">
        <v>268</v>
      </c>
    </row>
    <row r="19" customFormat="false" ht="23.85" hidden="false" customHeight="false" outlineLevel="0" collapsed="false">
      <c r="A19" s="16" t="s">
        <v>269</v>
      </c>
      <c r="B19" s="4" t="s">
        <v>270</v>
      </c>
      <c r="C19" s="4" t="s">
        <v>271</v>
      </c>
      <c r="D19" s="4" t="s">
        <v>272</v>
      </c>
      <c r="E19" s="4" t="s">
        <v>256</v>
      </c>
      <c r="F19" s="4" t="s">
        <v>234</v>
      </c>
      <c r="G19" s="4" t="s">
        <v>273</v>
      </c>
    </row>
    <row r="20" customFormat="false" ht="23.85" hidden="false" customHeight="false" outlineLevel="0" collapsed="false">
      <c r="A20" s="16" t="s">
        <v>269</v>
      </c>
      <c r="B20" s="4" t="s">
        <v>270</v>
      </c>
      <c r="C20" s="4" t="s">
        <v>274</v>
      </c>
      <c r="D20" s="4" t="s">
        <v>275</v>
      </c>
      <c r="E20" s="4" t="s">
        <v>86</v>
      </c>
      <c r="F20" s="4" t="s">
        <v>276</v>
      </c>
      <c r="G20" s="4" t="s">
        <v>277</v>
      </c>
    </row>
    <row r="21" customFormat="false" ht="15" hidden="false" customHeight="false" outlineLevel="0" collapsed="false">
      <c r="A21" s="16" t="s">
        <v>269</v>
      </c>
      <c r="B21" s="4" t="s">
        <v>270</v>
      </c>
      <c r="C21" s="4" t="s">
        <v>278</v>
      </c>
      <c r="D21" s="4" t="s">
        <v>279</v>
      </c>
      <c r="E21" s="4" t="s">
        <v>280</v>
      </c>
      <c r="F21" s="4" t="s">
        <v>234</v>
      </c>
      <c r="G21" s="4" t="s">
        <v>281</v>
      </c>
    </row>
    <row r="22" customFormat="false" ht="23.85" hidden="false" customHeight="false" outlineLevel="0" collapsed="false">
      <c r="A22" s="16" t="s">
        <v>269</v>
      </c>
      <c r="B22" s="4" t="s">
        <v>270</v>
      </c>
      <c r="C22" s="4" t="s">
        <v>89</v>
      </c>
      <c r="D22" s="4" t="s">
        <v>282</v>
      </c>
      <c r="E22" s="4" t="s">
        <v>283</v>
      </c>
      <c r="F22" s="4" t="s">
        <v>211</v>
      </c>
      <c r="G22" s="4" t="s">
        <v>284</v>
      </c>
    </row>
    <row r="23" customFormat="false" ht="23.85" hidden="false" customHeight="false" outlineLevel="0" collapsed="false">
      <c r="A23" s="16" t="s">
        <v>269</v>
      </c>
      <c r="B23" s="4" t="s">
        <v>270</v>
      </c>
      <c r="C23" s="4" t="s">
        <v>285</v>
      </c>
      <c r="D23" s="4" t="s">
        <v>286</v>
      </c>
      <c r="E23" s="4" t="s">
        <v>287</v>
      </c>
      <c r="F23" s="4" t="s">
        <v>234</v>
      </c>
      <c r="G23" s="4" t="s">
        <v>288</v>
      </c>
    </row>
    <row r="24" customFormat="false" ht="23.85" hidden="false" customHeight="false" outlineLevel="0" collapsed="false">
      <c r="A24" s="16" t="s">
        <v>269</v>
      </c>
      <c r="B24" s="4" t="s">
        <v>270</v>
      </c>
      <c r="C24" s="4" t="s">
        <v>289</v>
      </c>
      <c r="D24" s="4" t="s">
        <v>290</v>
      </c>
      <c r="E24" s="4" t="s">
        <v>291</v>
      </c>
      <c r="F24" s="4" t="s">
        <v>292</v>
      </c>
      <c r="G24" s="4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55"/>
  </cols>
  <sheetData>
    <row r="1" customFormat="false" ht="15" hidden="false" customHeight="false" outlineLevel="0" collapsed="false">
      <c r="A1" s="8" t="s">
        <v>23</v>
      </c>
      <c r="B1" s="8" t="s">
        <v>294</v>
      </c>
      <c r="C1" s="8" t="s">
        <v>295</v>
      </c>
      <c r="D1" s="8" t="s">
        <v>198</v>
      </c>
      <c r="E1" s="8" t="s">
        <v>202</v>
      </c>
      <c r="F1" s="8" t="s">
        <v>296</v>
      </c>
      <c r="G1" s="8" t="s">
        <v>297</v>
      </c>
    </row>
    <row r="2" customFormat="false" ht="35.05" hidden="false" customHeight="false" outlineLevel="0" collapsed="false">
      <c r="A2" s="9" t="s">
        <v>67</v>
      </c>
      <c r="B2" s="4" t="s">
        <v>298</v>
      </c>
      <c r="C2" s="10" t="s">
        <v>18</v>
      </c>
      <c r="D2" s="4" t="s">
        <v>105</v>
      </c>
      <c r="E2" s="4" t="s">
        <v>207</v>
      </c>
      <c r="F2" s="4" t="s">
        <v>299</v>
      </c>
      <c r="G2" s="4" t="s">
        <v>300</v>
      </c>
    </row>
    <row r="3" customFormat="false" ht="23.85" hidden="false" customHeight="false" outlineLevel="0" collapsed="false">
      <c r="A3" s="9" t="s">
        <v>76</v>
      </c>
      <c r="B3" s="4" t="s">
        <v>301</v>
      </c>
      <c r="C3" s="10" t="s">
        <v>18</v>
      </c>
      <c r="D3" s="4" t="s">
        <v>105</v>
      </c>
      <c r="E3" s="4" t="s">
        <v>211</v>
      </c>
      <c r="F3" s="4" t="s">
        <v>302</v>
      </c>
      <c r="G3" s="4" t="s">
        <v>303</v>
      </c>
    </row>
    <row r="4" customFormat="false" ht="23.85" hidden="false" customHeight="false" outlineLevel="0" collapsed="false">
      <c r="A4" s="9" t="s">
        <v>122</v>
      </c>
      <c r="B4" s="4" t="s">
        <v>304</v>
      </c>
      <c r="C4" s="10" t="s">
        <v>18</v>
      </c>
      <c r="D4" s="4" t="s">
        <v>105</v>
      </c>
      <c r="E4" s="4" t="s">
        <v>211</v>
      </c>
      <c r="F4" s="4" t="s">
        <v>305</v>
      </c>
      <c r="G4" s="4" t="s">
        <v>306</v>
      </c>
    </row>
    <row r="5" customFormat="false" ht="35.05" hidden="false" customHeight="false" outlineLevel="0" collapsed="false">
      <c r="A5" s="9" t="s">
        <v>149</v>
      </c>
      <c r="B5" s="4" t="s">
        <v>307</v>
      </c>
      <c r="C5" s="10" t="s">
        <v>18</v>
      </c>
      <c r="D5" s="4" t="s">
        <v>105</v>
      </c>
      <c r="E5" s="4" t="s">
        <v>218</v>
      </c>
      <c r="F5" s="4" t="s">
        <v>308</v>
      </c>
      <c r="G5" s="4" t="s">
        <v>309</v>
      </c>
    </row>
    <row r="6" customFormat="false" ht="23.85" hidden="false" customHeight="false" outlineLevel="0" collapsed="false">
      <c r="A6" s="9" t="s">
        <v>106</v>
      </c>
      <c r="B6" s="4" t="s">
        <v>310</v>
      </c>
      <c r="C6" s="10" t="s">
        <v>18</v>
      </c>
      <c r="D6" s="4" t="s">
        <v>105</v>
      </c>
      <c r="E6" s="4" t="s">
        <v>211</v>
      </c>
      <c r="F6" s="4" t="s">
        <v>311</v>
      </c>
      <c r="G6" s="4" t="s">
        <v>312</v>
      </c>
    </row>
    <row r="7" customFormat="false" ht="23.85" hidden="false" customHeight="false" outlineLevel="0" collapsed="false">
      <c r="A7" s="9" t="s">
        <v>114</v>
      </c>
      <c r="B7" s="4" t="s">
        <v>313</v>
      </c>
      <c r="C7" s="10" t="s">
        <v>18</v>
      </c>
      <c r="D7" s="4" t="s">
        <v>105</v>
      </c>
      <c r="E7" s="4" t="s">
        <v>211</v>
      </c>
      <c r="F7" s="4" t="s">
        <v>314</v>
      </c>
      <c r="G7" s="4" t="s">
        <v>315</v>
      </c>
    </row>
    <row r="8" customFormat="false" ht="23.85" hidden="false" customHeight="false" outlineLevel="0" collapsed="false">
      <c r="A8" s="9" t="s">
        <v>228</v>
      </c>
      <c r="B8" s="4" t="s">
        <v>316</v>
      </c>
      <c r="C8" s="10" t="s">
        <v>18</v>
      </c>
      <c r="D8" s="4" t="s">
        <v>105</v>
      </c>
      <c r="E8" s="4" t="s">
        <v>229</v>
      </c>
      <c r="F8" s="4" t="s">
        <v>317</v>
      </c>
      <c r="G8" s="4" t="s">
        <v>318</v>
      </c>
    </row>
    <row r="9" customFormat="false" ht="23.85" hidden="false" customHeight="false" outlineLevel="0" collapsed="false">
      <c r="A9" s="9" t="s">
        <v>56</v>
      </c>
      <c r="B9" s="4" t="s">
        <v>319</v>
      </c>
      <c r="C9" s="11" t="s">
        <v>19</v>
      </c>
      <c r="D9" s="4" t="s">
        <v>55</v>
      </c>
      <c r="E9" s="4" t="s">
        <v>234</v>
      </c>
      <c r="F9" s="4" t="s">
        <v>320</v>
      </c>
      <c r="G9" s="4" t="s">
        <v>321</v>
      </c>
    </row>
    <row r="10" customFormat="false" ht="35.05" hidden="false" customHeight="false" outlineLevel="0" collapsed="false">
      <c r="A10" s="9" t="s">
        <v>141</v>
      </c>
      <c r="B10" s="4" t="s">
        <v>322</v>
      </c>
      <c r="C10" s="11" t="s">
        <v>19</v>
      </c>
      <c r="D10" s="4" t="s">
        <v>140</v>
      </c>
      <c r="E10" s="4" t="s">
        <v>211</v>
      </c>
      <c r="F10" s="4" t="s">
        <v>323</v>
      </c>
      <c r="G10" s="4" t="s">
        <v>324</v>
      </c>
    </row>
    <row r="11" customFormat="false" ht="23.85" hidden="false" customHeight="false" outlineLevel="0" collapsed="false">
      <c r="A11" s="9" t="s">
        <v>241</v>
      </c>
      <c r="B11" s="4" t="s">
        <v>325</v>
      </c>
      <c r="C11" s="11" t="s">
        <v>19</v>
      </c>
      <c r="D11" s="4" t="s">
        <v>55</v>
      </c>
      <c r="E11" s="4" t="s">
        <v>207</v>
      </c>
      <c r="F11" s="4" t="s">
        <v>326</v>
      </c>
      <c r="G11" s="4" t="s">
        <v>327</v>
      </c>
    </row>
    <row r="12" customFormat="false" ht="35.05" hidden="false" customHeight="false" outlineLevel="0" collapsed="false">
      <c r="A12" s="9" t="s">
        <v>328</v>
      </c>
      <c r="B12" s="4" t="s">
        <v>329</v>
      </c>
      <c r="C12" s="12" t="s">
        <v>20</v>
      </c>
      <c r="D12" s="4" t="s">
        <v>95</v>
      </c>
      <c r="E12" s="4" t="s">
        <v>234</v>
      </c>
      <c r="F12" s="4" t="s">
        <v>330</v>
      </c>
      <c r="G12" s="4" t="s">
        <v>331</v>
      </c>
    </row>
    <row r="13" customFormat="false" ht="23.85" hidden="false" customHeight="false" outlineLevel="0" collapsed="false">
      <c r="A13" s="9" t="s">
        <v>332</v>
      </c>
      <c r="B13" s="4" t="s">
        <v>333</v>
      </c>
      <c r="C13" s="12" t="s">
        <v>20</v>
      </c>
      <c r="D13" s="4" t="s">
        <v>95</v>
      </c>
      <c r="E13" s="4" t="s">
        <v>211</v>
      </c>
      <c r="F13" s="4" t="s">
        <v>334</v>
      </c>
      <c r="G13" s="4" t="s">
        <v>335</v>
      </c>
    </row>
    <row r="14" customFormat="false" ht="35.05" hidden="false" customHeight="false" outlineLevel="0" collapsed="false">
      <c r="A14" s="9" t="s">
        <v>174</v>
      </c>
      <c r="B14" s="4" t="s">
        <v>336</v>
      </c>
      <c r="C14" s="12" t="s">
        <v>20</v>
      </c>
      <c r="D14" s="4" t="s">
        <v>95</v>
      </c>
      <c r="E14" s="4" t="s">
        <v>267</v>
      </c>
      <c r="F14" s="4" t="s">
        <v>337</v>
      </c>
      <c r="G14" s="4" t="s">
        <v>338</v>
      </c>
    </row>
    <row r="15" customFormat="false" ht="23.85" hidden="false" customHeight="false" outlineLevel="0" collapsed="false">
      <c r="A15" s="9" t="s">
        <v>96</v>
      </c>
      <c r="B15" s="4" t="s">
        <v>339</v>
      </c>
      <c r="C15" s="12" t="s">
        <v>20</v>
      </c>
      <c r="D15" s="4" t="s">
        <v>95</v>
      </c>
      <c r="E15" s="4" t="s">
        <v>340</v>
      </c>
      <c r="F15" s="4" t="s">
        <v>341</v>
      </c>
      <c r="G15" s="4" t="s">
        <v>342</v>
      </c>
    </row>
    <row r="16" customFormat="false" ht="35.05" hidden="false" customHeight="false" outlineLevel="0" collapsed="false">
      <c r="A16" s="9" t="s">
        <v>343</v>
      </c>
      <c r="B16" s="4" t="s">
        <v>344</v>
      </c>
      <c r="C16" s="11" t="s">
        <v>19</v>
      </c>
      <c r="D16" s="4" t="s">
        <v>55</v>
      </c>
      <c r="E16" s="4" t="s">
        <v>345</v>
      </c>
      <c r="F16" s="4" t="s">
        <v>346</v>
      </c>
      <c r="G16" s="4" t="s">
        <v>347</v>
      </c>
    </row>
    <row r="17" customFormat="false" ht="23.85" hidden="false" customHeight="false" outlineLevel="0" collapsed="false">
      <c r="A17" s="9" t="s">
        <v>165</v>
      </c>
      <c r="B17" s="4" t="s">
        <v>348</v>
      </c>
      <c r="C17" s="12" t="s">
        <v>20</v>
      </c>
      <c r="D17" s="4" t="s">
        <v>95</v>
      </c>
      <c r="E17" s="4" t="s">
        <v>211</v>
      </c>
      <c r="F17" s="4" t="s">
        <v>349</v>
      </c>
      <c r="G17" s="4" t="s">
        <v>350</v>
      </c>
    </row>
    <row r="18" customFormat="false" ht="23.85" hidden="false" customHeight="false" outlineLevel="0" collapsed="false">
      <c r="A18" s="9" t="s">
        <v>190</v>
      </c>
      <c r="B18" s="4" t="s">
        <v>351</v>
      </c>
      <c r="C18" s="11" t="s">
        <v>19</v>
      </c>
      <c r="D18" s="4" t="s">
        <v>55</v>
      </c>
      <c r="E18" s="4" t="s">
        <v>211</v>
      </c>
      <c r="F18" s="4" t="s">
        <v>352</v>
      </c>
      <c r="G18" s="4" t="s">
        <v>353</v>
      </c>
    </row>
    <row r="19" customFormat="false" ht="23.85" hidden="false" customHeight="false" outlineLevel="0" collapsed="false">
      <c r="A19" s="9" t="s">
        <v>354</v>
      </c>
      <c r="B19" s="4" t="s">
        <v>355</v>
      </c>
      <c r="C19" s="11" t="s">
        <v>19</v>
      </c>
      <c r="D19" s="4" t="s">
        <v>55</v>
      </c>
      <c r="E19" s="4" t="s">
        <v>211</v>
      </c>
      <c r="F19" s="4" t="s">
        <v>356</v>
      </c>
      <c r="G19" s="4" t="s">
        <v>357</v>
      </c>
    </row>
    <row r="20" customFormat="false" ht="23.85" hidden="false" customHeight="false" outlineLevel="0" collapsed="false">
      <c r="A20" s="9" t="s">
        <v>280</v>
      </c>
      <c r="B20" s="4" t="s">
        <v>358</v>
      </c>
      <c r="C20" s="17" t="s">
        <v>21</v>
      </c>
      <c r="D20" s="4" t="s">
        <v>270</v>
      </c>
      <c r="E20" s="4" t="s">
        <v>234</v>
      </c>
      <c r="F20" s="4" t="s">
        <v>359</v>
      </c>
      <c r="G20" s="4" t="s">
        <v>360</v>
      </c>
    </row>
    <row r="21" customFormat="false" ht="23.85" hidden="false" customHeight="false" outlineLevel="0" collapsed="false">
      <c r="A21" s="9" t="s">
        <v>287</v>
      </c>
      <c r="B21" s="4" t="s">
        <v>361</v>
      </c>
      <c r="C21" s="12" t="s">
        <v>20</v>
      </c>
      <c r="D21" s="4" t="s">
        <v>95</v>
      </c>
      <c r="E21" s="4" t="s">
        <v>345</v>
      </c>
      <c r="F21" s="4" t="s">
        <v>362</v>
      </c>
      <c r="G21" s="4" t="s">
        <v>363</v>
      </c>
    </row>
    <row r="22" customFormat="false" ht="23.85" hidden="false" customHeight="false" outlineLevel="0" collapsed="false">
      <c r="A22" s="9" t="s">
        <v>364</v>
      </c>
      <c r="B22" s="4" t="s">
        <v>365</v>
      </c>
      <c r="C22" s="17" t="s">
        <v>21</v>
      </c>
      <c r="D22" s="4" t="s">
        <v>270</v>
      </c>
      <c r="E22" s="4" t="s">
        <v>211</v>
      </c>
      <c r="F22" s="4" t="s">
        <v>366</v>
      </c>
      <c r="G22" s="4" t="s">
        <v>367</v>
      </c>
    </row>
    <row r="23" customFormat="false" ht="23.85" hidden="false" customHeight="false" outlineLevel="0" collapsed="false">
      <c r="A23" s="9" t="s">
        <v>368</v>
      </c>
      <c r="B23" s="4" t="s">
        <v>369</v>
      </c>
      <c r="C23" s="17" t="s">
        <v>21</v>
      </c>
      <c r="D23" s="4" t="s">
        <v>270</v>
      </c>
      <c r="E23" s="4" t="s">
        <v>211</v>
      </c>
      <c r="F23" s="4" t="s">
        <v>370</v>
      </c>
      <c r="G23" s="4" t="s">
        <v>371</v>
      </c>
    </row>
    <row r="24" customFormat="false" ht="35.05" hidden="false" customHeight="false" outlineLevel="0" collapsed="false">
      <c r="A24" s="9" t="s">
        <v>291</v>
      </c>
      <c r="B24" s="4" t="s">
        <v>372</v>
      </c>
      <c r="C24" s="17" t="s">
        <v>21</v>
      </c>
      <c r="D24" s="4" t="s">
        <v>270</v>
      </c>
      <c r="E24" s="4" t="s">
        <v>234</v>
      </c>
      <c r="F24" s="4" t="s">
        <v>373</v>
      </c>
      <c r="G24" s="4" t="s">
        <v>374</v>
      </c>
    </row>
    <row r="25" customFormat="false" ht="35.05" hidden="false" customHeight="false" outlineLevel="0" collapsed="false">
      <c r="A25" s="9" t="s">
        <v>86</v>
      </c>
      <c r="B25" s="4" t="s">
        <v>375</v>
      </c>
      <c r="C25" s="17" t="s">
        <v>21</v>
      </c>
      <c r="D25" s="4" t="s">
        <v>376</v>
      </c>
      <c r="E25" s="4" t="s">
        <v>276</v>
      </c>
      <c r="F25" s="4" t="s">
        <v>377</v>
      </c>
      <c r="G25" s="4" t="s">
        <v>378</v>
      </c>
    </row>
  </sheetData>
  <autoFilter ref="A1:G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4" min="3" style="0" width="10"/>
  </cols>
  <sheetData>
    <row r="1" customFormat="false" ht="15" hidden="false" customHeight="false" outlineLevel="0" collapsed="false">
      <c r="A1" s="8" t="s">
        <v>379</v>
      </c>
      <c r="B1" s="8" t="s">
        <v>380</v>
      </c>
      <c r="C1" s="8" t="s">
        <v>381</v>
      </c>
      <c r="D1" s="8" t="s">
        <v>382</v>
      </c>
    </row>
    <row r="2" customFormat="false" ht="15" hidden="false" customHeight="false" outlineLevel="0" collapsed="false">
      <c r="A2" s="18" t="s">
        <v>89</v>
      </c>
      <c r="B2" s="4" t="s">
        <v>383</v>
      </c>
      <c r="C2" s="4" t="s">
        <v>106</v>
      </c>
      <c r="D2" s="4" t="s">
        <v>384</v>
      </c>
    </row>
    <row r="3" customFormat="false" ht="15" hidden="false" customHeight="false" outlineLevel="0" collapsed="false">
      <c r="A3" s="18" t="s">
        <v>89</v>
      </c>
      <c r="B3" s="4" t="s">
        <v>385</v>
      </c>
      <c r="C3" s="4" t="s">
        <v>106</v>
      </c>
      <c r="D3" s="4" t="s">
        <v>384</v>
      </c>
    </row>
    <row r="4" customFormat="false" ht="15" hidden="false" customHeight="false" outlineLevel="0" collapsed="false">
      <c r="A4" s="18" t="s">
        <v>89</v>
      </c>
      <c r="B4" s="4" t="s">
        <v>224</v>
      </c>
      <c r="C4" s="4" t="s">
        <v>114</v>
      </c>
      <c r="D4" s="4" t="s">
        <v>384</v>
      </c>
    </row>
    <row r="5" customFormat="false" ht="15" hidden="false" customHeight="false" outlineLevel="0" collapsed="false">
      <c r="A5" s="18" t="s">
        <v>89</v>
      </c>
      <c r="B5" s="4" t="s">
        <v>386</v>
      </c>
      <c r="C5" s="4" t="s">
        <v>96</v>
      </c>
      <c r="D5" s="4" t="s">
        <v>384</v>
      </c>
    </row>
    <row r="6" customFormat="false" ht="15" hidden="false" customHeight="false" outlineLevel="0" collapsed="false">
      <c r="A6" s="18" t="s">
        <v>89</v>
      </c>
      <c r="B6" s="4" t="s">
        <v>387</v>
      </c>
      <c r="C6" s="4" t="s">
        <v>149</v>
      </c>
      <c r="D6" s="4" t="s">
        <v>384</v>
      </c>
    </row>
    <row r="7" customFormat="false" ht="15" hidden="false" customHeight="false" outlineLevel="0" collapsed="false">
      <c r="A7" s="18" t="s">
        <v>89</v>
      </c>
      <c r="B7" s="4" t="s">
        <v>388</v>
      </c>
      <c r="C7" s="4" t="s">
        <v>149</v>
      </c>
      <c r="D7" s="4" t="s">
        <v>384</v>
      </c>
    </row>
    <row r="8" customFormat="false" ht="15" hidden="false" customHeight="false" outlineLevel="0" collapsed="false">
      <c r="A8" s="18" t="s">
        <v>89</v>
      </c>
      <c r="B8" s="4" t="s">
        <v>389</v>
      </c>
      <c r="C8" s="4" t="s">
        <v>364</v>
      </c>
      <c r="D8" s="4" t="s">
        <v>384</v>
      </c>
    </row>
    <row r="9" customFormat="false" ht="15" hidden="false" customHeight="false" outlineLevel="0" collapsed="false">
      <c r="A9" s="18" t="s">
        <v>89</v>
      </c>
      <c r="B9" s="4" t="s">
        <v>390</v>
      </c>
      <c r="C9" s="4" t="s">
        <v>141</v>
      </c>
      <c r="D9" s="4" t="s">
        <v>384</v>
      </c>
    </row>
    <row r="10" customFormat="false" ht="15" hidden="false" customHeight="false" outlineLevel="0" collapsed="false">
      <c r="A10" s="18" t="s">
        <v>89</v>
      </c>
      <c r="B10" s="4" t="s">
        <v>369</v>
      </c>
      <c r="C10" s="4" t="s">
        <v>368</v>
      </c>
      <c r="D10" s="4" t="s">
        <v>384</v>
      </c>
    </row>
    <row r="11" customFormat="false" ht="15" hidden="false" customHeight="false" outlineLevel="0" collapsed="false">
      <c r="A11" s="19" t="s">
        <v>48</v>
      </c>
      <c r="B11" s="4" t="s">
        <v>391</v>
      </c>
      <c r="C11" s="4" t="s">
        <v>67</v>
      </c>
      <c r="D11" s="4" t="s">
        <v>384</v>
      </c>
    </row>
    <row r="12" customFormat="false" ht="15" hidden="false" customHeight="false" outlineLevel="0" collapsed="false">
      <c r="A12" s="19" t="s">
        <v>48</v>
      </c>
      <c r="B12" s="4" t="s">
        <v>392</v>
      </c>
      <c r="C12" s="4" t="s">
        <v>67</v>
      </c>
      <c r="D12" s="4" t="s">
        <v>384</v>
      </c>
    </row>
    <row r="13" customFormat="false" ht="15" hidden="false" customHeight="false" outlineLevel="0" collapsed="false">
      <c r="A13" s="19" t="s">
        <v>48</v>
      </c>
      <c r="B13" s="4" t="s">
        <v>393</v>
      </c>
      <c r="C13" s="4" t="s">
        <v>56</v>
      </c>
      <c r="D13" s="4" t="s">
        <v>384</v>
      </c>
    </row>
    <row r="14" customFormat="false" ht="15" hidden="false" customHeight="false" outlineLevel="0" collapsed="false">
      <c r="A14" s="19" t="s">
        <v>48</v>
      </c>
      <c r="B14" s="4" t="s">
        <v>394</v>
      </c>
      <c r="C14" s="4" t="s">
        <v>228</v>
      </c>
      <c r="D14" s="4" t="s">
        <v>384</v>
      </c>
    </row>
    <row r="15" customFormat="false" ht="15" hidden="false" customHeight="false" outlineLevel="0" collapsed="false">
      <c r="A15" s="19" t="s">
        <v>48</v>
      </c>
      <c r="B15" s="4" t="s">
        <v>395</v>
      </c>
      <c r="C15" s="4" t="s">
        <v>396</v>
      </c>
      <c r="D15" s="4" t="s">
        <v>384</v>
      </c>
    </row>
    <row r="16" customFormat="false" ht="15" hidden="false" customHeight="false" outlineLevel="0" collapsed="false">
      <c r="A16" s="19" t="s">
        <v>48</v>
      </c>
      <c r="B16" s="4" t="s">
        <v>397</v>
      </c>
      <c r="C16" s="4" t="s">
        <v>190</v>
      </c>
      <c r="D16" s="4" t="s">
        <v>384</v>
      </c>
    </row>
    <row r="17" customFormat="false" ht="15" hidden="false" customHeight="false" outlineLevel="0" collapsed="false">
      <c r="A17" s="16" t="s">
        <v>398</v>
      </c>
      <c r="B17" s="4" t="s">
        <v>399</v>
      </c>
      <c r="C17" s="4" t="s">
        <v>76</v>
      </c>
      <c r="D17" s="4" t="s">
        <v>384</v>
      </c>
    </row>
    <row r="18" customFormat="false" ht="15" hidden="false" customHeight="false" outlineLevel="0" collapsed="false">
      <c r="A18" s="16" t="s">
        <v>398</v>
      </c>
      <c r="B18" s="4" t="s">
        <v>400</v>
      </c>
      <c r="C18" s="4" t="s">
        <v>241</v>
      </c>
      <c r="D18" s="4" t="s">
        <v>384</v>
      </c>
    </row>
    <row r="19" customFormat="false" ht="15" hidden="false" customHeight="false" outlineLevel="0" collapsed="false">
      <c r="A19" s="16" t="s">
        <v>398</v>
      </c>
      <c r="B19" s="4" t="s">
        <v>401</v>
      </c>
      <c r="C19" s="4" t="s">
        <v>241</v>
      </c>
      <c r="D19" s="4" t="s">
        <v>384</v>
      </c>
    </row>
    <row r="20" customFormat="false" ht="15" hidden="false" customHeight="false" outlineLevel="0" collapsed="false">
      <c r="A20" s="16" t="s">
        <v>398</v>
      </c>
      <c r="B20" s="4" t="s">
        <v>402</v>
      </c>
      <c r="C20" s="4" t="s">
        <v>291</v>
      </c>
      <c r="D20" s="4" t="s">
        <v>384</v>
      </c>
    </row>
    <row r="21" customFormat="false" ht="15" hidden="false" customHeight="false" outlineLevel="0" collapsed="false">
      <c r="A21" s="16" t="s">
        <v>398</v>
      </c>
      <c r="B21" s="4" t="s">
        <v>403</v>
      </c>
      <c r="C21" s="4" t="s">
        <v>404</v>
      </c>
      <c r="D21" s="4" t="s">
        <v>384</v>
      </c>
    </row>
    <row r="22" customFormat="false" ht="15" hidden="false" customHeight="false" outlineLevel="0" collapsed="false">
      <c r="A22" s="15" t="s">
        <v>405</v>
      </c>
      <c r="B22" s="4" t="s">
        <v>406</v>
      </c>
      <c r="C22" s="4" t="s">
        <v>76</v>
      </c>
      <c r="D22" s="4" t="s">
        <v>384</v>
      </c>
    </row>
    <row r="23" customFormat="false" ht="15" hidden="false" customHeight="false" outlineLevel="0" collapsed="false">
      <c r="A23" s="15" t="s">
        <v>405</v>
      </c>
      <c r="B23" s="4" t="s">
        <v>407</v>
      </c>
      <c r="C23" s="4" t="s">
        <v>241</v>
      </c>
      <c r="D23" s="4" t="s">
        <v>384</v>
      </c>
    </row>
    <row r="24" customFormat="false" ht="15" hidden="false" customHeight="false" outlineLevel="0" collapsed="false">
      <c r="A24" s="15" t="s">
        <v>405</v>
      </c>
      <c r="B24" s="4" t="s">
        <v>408</v>
      </c>
      <c r="C24" s="4" t="s">
        <v>280</v>
      </c>
      <c r="D24" s="4" t="s">
        <v>384</v>
      </c>
    </row>
    <row r="25" customFormat="false" ht="15" hidden="false" customHeight="false" outlineLevel="0" collapsed="false">
      <c r="A25" s="14" t="s">
        <v>409</v>
      </c>
      <c r="B25" s="4" t="s">
        <v>410</v>
      </c>
      <c r="C25" s="4" t="s">
        <v>122</v>
      </c>
      <c r="D25" s="4" t="s">
        <v>384</v>
      </c>
    </row>
    <row r="26" customFormat="false" ht="15" hidden="false" customHeight="false" outlineLevel="0" collapsed="false">
      <c r="A26" s="14" t="s">
        <v>409</v>
      </c>
      <c r="B26" s="4" t="s">
        <v>411</v>
      </c>
      <c r="C26" s="4" t="s">
        <v>122</v>
      </c>
      <c r="D26" s="4" t="s">
        <v>384</v>
      </c>
    </row>
    <row r="27" customFormat="false" ht="15" hidden="false" customHeight="false" outlineLevel="0" collapsed="false">
      <c r="A27" s="14" t="s">
        <v>409</v>
      </c>
      <c r="B27" s="4" t="s">
        <v>412</v>
      </c>
      <c r="C27" s="4" t="s">
        <v>287</v>
      </c>
      <c r="D27" s="4" t="s">
        <v>384</v>
      </c>
    </row>
    <row r="28" customFormat="false" ht="15" hidden="false" customHeight="false" outlineLevel="0" collapsed="false">
      <c r="A28" s="20" t="s">
        <v>413</v>
      </c>
      <c r="B28" s="4" t="s">
        <v>414</v>
      </c>
      <c r="C28" s="4" t="s">
        <v>343</v>
      </c>
      <c r="D28" s="4" t="s">
        <v>384</v>
      </c>
    </row>
    <row r="29" customFormat="false" ht="15" hidden="false" customHeight="false" outlineLevel="0" collapsed="false">
      <c r="A29" s="20" t="s">
        <v>413</v>
      </c>
      <c r="B29" s="4" t="s">
        <v>415</v>
      </c>
      <c r="C29" s="4" t="s">
        <v>291</v>
      </c>
      <c r="D29" s="4" t="s">
        <v>384</v>
      </c>
    </row>
    <row r="30" customFormat="false" ht="15" hidden="false" customHeight="false" outlineLevel="0" collapsed="false">
      <c r="A30" s="20" t="s">
        <v>413</v>
      </c>
      <c r="B30" s="4" t="s">
        <v>416</v>
      </c>
      <c r="C30" s="4" t="s">
        <v>86</v>
      </c>
      <c r="D30" s="4" t="s">
        <v>384</v>
      </c>
    </row>
    <row r="31" customFormat="false" ht="15" hidden="false" customHeight="false" outlineLevel="0" collapsed="false">
      <c r="A31" s="21" t="s">
        <v>417</v>
      </c>
      <c r="B31" s="4" t="s">
        <v>418</v>
      </c>
      <c r="C31" s="4" t="s">
        <v>174</v>
      </c>
      <c r="D31" s="4" t="s">
        <v>384</v>
      </c>
    </row>
    <row r="32" customFormat="false" ht="15" hidden="false" customHeight="false" outlineLevel="0" collapsed="false">
      <c r="A32" s="21" t="s">
        <v>417</v>
      </c>
      <c r="B32" s="4" t="s">
        <v>419</v>
      </c>
      <c r="C32" s="4" t="s">
        <v>174</v>
      </c>
      <c r="D32" s="4" t="s">
        <v>384</v>
      </c>
    </row>
    <row r="33" customFormat="false" ht="15" hidden="false" customHeight="false" outlineLevel="0" collapsed="false">
      <c r="A33" s="21" t="s">
        <v>417</v>
      </c>
      <c r="B33" s="4" t="s">
        <v>420</v>
      </c>
      <c r="C33" s="4" t="s">
        <v>174</v>
      </c>
      <c r="D33" s="4" t="s">
        <v>384</v>
      </c>
    </row>
    <row r="34" customFormat="false" ht="15" hidden="false" customHeight="false" outlineLevel="0" collapsed="false">
      <c r="A34" s="21" t="s">
        <v>417</v>
      </c>
      <c r="B34" s="4" t="s">
        <v>421</v>
      </c>
      <c r="C34" s="4" t="s">
        <v>174</v>
      </c>
      <c r="D34" s="4" t="s">
        <v>384</v>
      </c>
    </row>
    <row r="35" customFormat="false" ht="15" hidden="false" customHeight="false" outlineLevel="0" collapsed="false">
      <c r="A35" s="13" t="s">
        <v>274</v>
      </c>
      <c r="B35" s="4" t="s">
        <v>422</v>
      </c>
      <c r="C35" s="4" t="s">
        <v>86</v>
      </c>
      <c r="D35" s="4" t="s">
        <v>384</v>
      </c>
    </row>
    <row r="36" customFormat="false" ht="15" hidden="false" customHeight="false" outlineLevel="0" collapsed="false">
      <c r="A36" s="13" t="s">
        <v>274</v>
      </c>
      <c r="B36" s="4" t="s">
        <v>423</v>
      </c>
      <c r="C36" s="4" t="s">
        <v>86</v>
      </c>
      <c r="D36" s="4" t="s">
        <v>384</v>
      </c>
    </row>
    <row r="37" customFormat="false" ht="15" hidden="false" customHeight="false" outlineLevel="0" collapsed="false">
      <c r="A37" s="13" t="s">
        <v>274</v>
      </c>
      <c r="B37" s="4" t="s">
        <v>424</v>
      </c>
      <c r="C37" s="4" t="s">
        <v>86</v>
      </c>
      <c r="D37" s="4" t="s">
        <v>384</v>
      </c>
    </row>
    <row r="38" customFormat="false" ht="15" hidden="false" customHeight="false" outlineLevel="0" collapsed="false">
      <c r="A38" s="13" t="s">
        <v>274</v>
      </c>
      <c r="B38" s="4" t="s">
        <v>425</v>
      </c>
      <c r="C38" s="4" t="s">
        <v>86</v>
      </c>
      <c r="D38" s="4" t="s">
        <v>384</v>
      </c>
    </row>
    <row r="39" customFormat="false" ht="15" hidden="false" customHeight="false" outlineLevel="0" collapsed="false">
      <c r="A39" s="13" t="s">
        <v>274</v>
      </c>
      <c r="B39" s="4" t="s">
        <v>426</v>
      </c>
      <c r="C39" s="4" t="s">
        <v>86</v>
      </c>
      <c r="D39" s="4" t="s">
        <v>384</v>
      </c>
    </row>
  </sheetData>
  <autoFilter ref="A1:D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2026-07-06T05:40:53Z</dcterms:created>
  <dc:creator>openpyxl</dc:creator>
  <dc:description/>
  <dc:language>en-US</dc:language>
  <cp:lastModifiedBy/>
  <dcterms:modified xsi:type="dcterms:W3CDTF">2026-07-06T05:40:53Z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